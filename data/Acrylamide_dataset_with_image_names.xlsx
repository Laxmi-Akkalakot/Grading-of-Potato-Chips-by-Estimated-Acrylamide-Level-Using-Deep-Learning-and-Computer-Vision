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Lenovo\Downloads\"/>
    </mc:Choice>
  </mc:AlternateContent>
  <xr:revisionPtr revIDLastSave="0" documentId="13_ncr:1_{515E1949-CD6A-43BF-872C-952DEDCE8068}" xr6:coauthVersionLast="47" xr6:coauthVersionMax="47" xr10:uidLastSave="{00000000-0000-0000-0000-000000000000}"/>
  <bookViews>
    <workbookView xWindow="-108" yWindow="-108" windowWidth="23256" windowHeight="13896" tabRatio="500" xr2:uid="{00000000-000D-0000-FFFF-FFFF00000000}"/>
  </bookViews>
  <sheets>
    <sheet name="Chapter 3" sheetId="1" r:id="rId1"/>
    <sheet name="Chapter 4" sheetId="2" r:id="rId2"/>
    <sheet name="Chapter 5" sheetId="3" r:id="rId3"/>
    <sheet name="Bands" sheetId="4" r:id="rId4"/>
    <sheet name="Image guide" sheetId="5" r:id="rId5"/>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D19" i="4" l="1"/>
  <c r="E19" i="4" s="1"/>
  <c r="D18" i="4"/>
  <c r="E18" i="4" s="1"/>
  <c r="C18" i="4"/>
  <c r="D17" i="4"/>
  <c r="C17" i="4"/>
  <c r="G7" i="4"/>
  <c r="F7" i="4"/>
  <c r="G6" i="4"/>
  <c r="F6" i="4"/>
  <c r="G5" i="4"/>
  <c r="F5" i="4"/>
  <c r="C5" i="4"/>
  <c r="G4" i="4"/>
  <c r="F4" i="4"/>
  <c r="C4" i="4"/>
  <c r="G3" i="4"/>
  <c r="F3" i="4"/>
  <c r="C3" i="4"/>
  <c r="G127" i="3"/>
  <c r="G126" i="3"/>
  <c r="G125" i="3"/>
  <c r="G123" i="3"/>
  <c r="G122" i="3"/>
  <c r="G121" i="3"/>
  <c r="G119" i="3"/>
  <c r="G118" i="3"/>
  <c r="G117" i="3"/>
  <c r="G115" i="3"/>
  <c r="G114" i="3"/>
  <c r="G113" i="3"/>
  <c r="G111" i="3"/>
  <c r="G110" i="3"/>
  <c r="G109" i="3"/>
  <c r="G107" i="3"/>
  <c r="G106" i="3"/>
  <c r="G105" i="3"/>
  <c r="G103" i="3"/>
  <c r="H102" i="3"/>
  <c r="G102" i="3"/>
  <c r="G101" i="3"/>
  <c r="G99" i="3"/>
  <c r="G98" i="3"/>
  <c r="G97" i="3"/>
  <c r="J96" i="3"/>
  <c r="I96" i="3"/>
  <c r="H96" i="3"/>
  <c r="G94" i="3"/>
  <c r="G93" i="3"/>
  <c r="G92" i="3"/>
  <c r="G91" i="3"/>
  <c r="G90" i="3"/>
  <c r="G89" i="3"/>
  <c r="G87" i="3"/>
  <c r="G86" i="3"/>
  <c r="G85" i="3"/>
  <c r="G84" i="3"/>
  <c r="G83" i="3"/>
  <c r="G82" i="3"/>
  <c r="G80" i="3"/>
  <c r="G79" i="3"/>
  <c r="G78" i="3"/>
  <c r="G77" i="3"/>
  <c r="G76" i="3"/>
  <c r="G75" i="3"/>
  <c r="J73" i="3"/>
  <c r="G73" i="3"/>
  <c r="G72" i="3"/>
  <c r="G71" i="3"/>
  <c r="G70" i="3"/>
  <c r="G69" i="3"/>
  <c r="G68" i="3"/>
  <c r="G66" i="3"/>
  <c r="G65" i="3"/>
  <c r="G64" i="3"/>
  <c r="G63" i="3"/>
  <c r="G62" i="3"/>
  <c r="G61" i="3"/>
  <c r="G59" i="3"/>
  <c r="G58" i="3"/>
  <c r="G57" i="3"/>
  <c r="G56" i="3"/>
  <c r="G55" i="3"/>
  <c r="G54" i="3"/>
  <c r="G52" i="3"/>
  <c r="G51" i="3"/>
  <c r="G50" i="3"/>
  <c r="G48" i="3"/>
  <c r="G47" i="3"/>
  <c r="G46" i="3"/>
  <c r="G44" i="3"/>
  <c r="G43" i="3"/>
  <c r="G42" i="3"/>
  <c r="G40" i="3"/>
  <c r="G39" i="3"/>
  <c r="G38" i="3"/>
  <c r="G36" i="3"/>
  <c r="G35" i="3"/>
  <c r="G34" i="3"/>
  <c r="G32" i="3"/>
  <c r="G31" i="3"/>
  <c r="G30" i="3"/>
  <c r="G28" i="3"/>
  <c r="G27" i="3"/>
  <c r="G26" i="3"/>
  <c r="G24" i="3"/>
  <c r="G23" i="3"/>
  <c r="G22" i="3"/>
  <c r="G20" i="3"/>
  <c r="G19" i="3"/>
  <c r="G18" i="3"/>
  <c r="G17" i="3"/>
  <c r="G16" i="3"/>
  <c r="G15" i="3"/>
  <c r="G14" i="3"/>
  <c r="G13" i="3"/>
  <c r="G12" i="3"/>
  <c r="G10" i="3"/>
  <c r="J9" i="3"/>
  <c r="I9" i="3"/>
  <c r="H9" i="3"/>
  <c r="G9" i="3"/>
  <c r="G8" i="3"/>
  <c r="G7" i="3"/>
  <c r="G6" i="3"/>
  <c r="G5" i="3"/>
  <c r="G4" i="3"/>
  <c r="G3" i="3"/>
  <c r="G2" i="3"/>
  <c r="W154" i="2"/>
  <c r="Y153" i="2"/>
  <c r="W153" i="2"/>
  <c r="Y152" i="2"/>
  <c r="W152" i="2"/>
  <c r="W151" i="2"/>
  <c r="Y150" i="2"/>
  <c r="W150" i="2"/>
  <c r="W149" i="2"/>
  <c r="Y147" i="2"/>
  <c r="W147" i="2"/>
  <c r="W146" i="2"/>
  <c r="W145" i="2"/>
  <c r="W144" i="2"/>
  <c r="Y143" i="2"/>
  <c r="W143" i="2"/>
  <c r="Y142" i="2"/>
  <c r="W142" i="2"/>
  <c r="W140" i="2"/>
  <c r="W139" i="2"/>
  <c r="W138" i="2"/>
  <c r="W137" i="2"/>
  <c r="W136" i="2"/>
  <c r="W135" i="2"/>
  <c r="W133" i="2"/>
  <c r="W132" i="2"/>
  <c r="W131" i="2"/>
  <c r="W130" i="2"/>
  <c r="W129" i="2"/>
  <c r="W128" i="2"/>
  <c r="Y126" i="2"/>
  <c r="W126" i="2"/>
  <c r="W125" i="2"/>
  <c r="Y124" i="2"/>
  <c r="W124" i="2"/>
  <c r="W123" i="2"/>
  <c r="Y122" i="2"/>
  <c r="W122" i="2"/>
  <c r="W121" i="2"/>
  <c r="W119" i="2"/>
  <c r="W118" i="2"/>
  <c r="Y117" i="2"/>
  <c r="W117" i="2"/>
  <c r="W116" i="2"/>
  <c r="Y115" i="2"/>
  <c r="W115" i="2"/>
  <c r="Y114" i="2"/>
  <c r="W114" i="2"/>
  <c r="W112" i="2"/>
  <c r="W111" i="2"/>
  <c r="W110" i="2"/>
  <c r="W109" i="2"/>
  <c r="W108" i="2"/>
  <c r="W107" i="2"/>
  <c r="W105" i="2"/>
  <c r="W104" i="2"/>
  <c r="W103" i="2"/>
  <c r="W102" i="2"/>
  <c r="W101" i="2"/>
  <c r="W100" i="2"/>
  <c r="Y98" i="2"/>
  <c r="W98" i="2"/>
  <c r="W97" i="2"/>
  <c r="Y96" i="2"/>
  <c r="W96" i="2"/>
  <c r="Y95" i="2"/>
  <c r="W95" i="2"/>
  <c r="W94" i="2"/>
  <c r="W93" i="2"/>
  <c r="W91" i="2"/>
  <c r="Y90" i="2"/>
  <c r="W90" i="2"/>
  <c r="Y89" i="2"/>
  <c r="W89" i="2"/>
  <c r="W88" i="2"/>
  <c r="Y87" i="2"/>
  <c r="W87" i="2"/>
  <c r="W86" i="2"/>
  <c r="W84" i="2"/>
  <c r="W83" i="2"/>
  <c r="W82" i="2"/>
  <c r="W81" i="2"/>
  <c r="W80" i="2"/>
  <c r="W79" i="2"/>
  <c r="W77" i="2"/>
  <c r="W76" i="2"/>
  <c r="Y75" i="2"/>
  <c r="W75" i="2"/>
  <c r="Y74" i="2"/>
  <c r="W74" i="2"/>
  <c r="W73" i="2"/>
  <c r="Y72" i="2"/>
  <c r="W72" i="2"/>
  <c r="W70" i="2"/>
  <c r="Y69" i="2"/>
  <c r="W69" i="2"/>
  <c r="Y68" i="2"/>
  <c r="W68" i="2"/>
  <c r="W67" i="2"/>
  <c r="Y66" i="2"/>
  <c r="W66" i="2"/>
  <c r="W65" i="2"/>
  <c r="W63" i="2"/>
  <c r="W62" i="2"/>
  <c r="W61" i="2"/>
  <c r="W60" i="2"/>
  <c r="W59" i="2"/>
  <c r="W58" i="2"/>
  <c r="W56" i="2"/>
  <c r="W55" i="2"/>
  <c r="W54" i="2"/>
  <c r="W53" i="2"/>
  <c r="W52" i="2"/>
  <c r="W51" i="2"/>
  <c r="Y49" i="2"/>
  <c r="W49" i="2"/>
  <c r="AE48" i="2"/>
  <c r="W48" i="2"/>
  <c r="W47" i="2"/>
  <c r="Y46" i="2"/>
  <c r="W46" i="2"/>
  <c r="Y45" i="2"/>
  <c r="W45" i="2"/>
  <c r="W44" i="2"/>
  <c r="Y42" i="2"/>
  <c r="X42" i="2"/>
  <c r="W42" i="2"/>
  <c r="X41" i="2"/>
  <c r="W41" i="2"/>
  <c r="Z40" i="2"/>
  <c r="Y40" i="2"/>
  <c r="X40" i="2"/>
  <c r="W40" i="2"/>
  <c r="Z39" i="2"/>
  <c r="X39" i="2"/>
  <c r="W39" i="2"/>
  <c r="Y38" i="2"/>
  <c r="X38" i="2"/>
  <c r="W38" i="2"/>
  <c r="Z37" i="2"/>
  <c r="X37" i="2"/>
  <c r="W37" i="2"/>
  <c r="Z35" i="2"/>
  <c r="X35" i="2"/>
  <c r="W35" i="2"/>
  <c r="Z34" i="2"/>
  <c r="X34" i="2"/>
  <c r="W34" i="2"/>
  <c r="X33" i="2"/>
  <c r="W33" i="2"/>
  <c r="X32" i="2"/>
  <c r="W32" i="2"/>
  <c r="X31" i="2"/>
  <c r="W31" i="2"/>
  <c r="Z30" i="2"/>
  <c r="X30" i="2"/>
  <c r="W30" i="2"/>
  <c r="X28" i="2"/>
  <c r="W28" i="2"/>
  <c r="Z27" i="2"/>
  <c r="X27" i="2"/>
  <c r="W27" i="2"/>
  <c r="X26" i="2"/>
  <c r="W26" i="2"/>
  <c r="X25" i="2"/>
  <c r="W25" i="2"/>
  <c r="Z24" i="2"/>
  <c r="X24" i="2"/>
  <c r="W24" i="2"/>
  <c r="Z23" i="2"/>
  <c r="X23" i="2"/>
  <c r="W23" i="2"/>
  <c r="X21" i="2"/>
  <c r="W21" i="2"/>
  <c r="Z20" i="2"/>
  <c r="Y20" i="2"/>
  <c r="X20" i="2"/>
  <c r="W20" i="2"/>
  <c r="Z19" i="2"/>
  <c r="X19" i="2"/>
  <c r="W19" i="2"/>
  <c r="AF18" i="2"/>
  <c r="AE18" i="2"/>
  <c r="AD18" i="2"/>
  <c r="AC18" i="2"/>
  <c r="AB18" i="2"/>
  <c r="Y18" i="2"/>
  <c r="X18" i="2"/>
  <c r="W18" i="2"/>
  <c r="AA18" i="2" s="1"/>
  <c r="Z17" i="2"/>
  <c r="Y17" i="2"/>
  <c r="X17" i="2"/>
  <c r="W17" i="2"/>
  <c r="X16" i="2"/>
  <c r="W16" i="2"/>
  <c r="Y14" i="2"/>
  <c r="X14" i="2"/>
  <c r="W14" i="2"/>
  <c r="Z13" i="2"/>
  <c r="Y13" i="2"/>
  <c r="X13" i="2"/>
  <c r="W13" i="2"/>
  <c r="Y12" i="2"/>
  <c r="X12" i="2"/>
  <c r="W12" i="2"/>
  <c r="Z11" i="2"/>
  <c r="X11" i="2"/>
  <c r="W11" i="2"/>
  <c r="X10" i="2"/>
  <c r="W10" i="2"/>
  <c r="Z9" i="2"/>
  <c r="X9" i="2"/>
  <c r="W9" i="2"/>
  <c r="X7" i="2"/>
  <c r="W7" i="2"/>
  <c r="Z6" i="2"/>
  <c r="X6" i="2"/>
  <c r="W6" i="2"/>
  <c r="Z5" i="2"/>
  <c r="X5" i="2"/>
  <c r="W5" i="2"/>
  <c r="X4" i="2"/>
  <c r="W4" i="2"/>
  <c r="X3" i="2"/>
  <c r="W3" i="2"/>
  <c r="Z2" i="2"/>
  <c r="X2" i="2"/>
  <c r="W2" i="2"/>
  <c r="F329" i="1"/>
  <c r="F328" i="1"/>
  <c r="F327" i="1"/>
  <c r="F326" i="1"/>
  <c r="F325" i="1"/>
  <c r="F324" i="1"/>
  <c r="F323" i="1"/>
  <c r="F322" i="1"/>
  <c r="F321" i="1"/>
  <c r="F320" i="1"/>
  <c r="F319" i="1"/>
  <c r="F318" i="1"/>
  <c r="F316" i="1"/>
  <c r="F315" i="1"/>
  <c r="F314" i="1"/>
  <c r="F313" i="1"/>
  <c r="F312" i="1"/>
  <c r="F311" i="1"/>
  <c r="F310" i="1"/>
  <c r="F309" i="1"/>
  <c r="I308" i="1"/>
  <c r="H308" i="1"/>
  <c r="G308" i="1"/>
  <c r="F308" i="1"/>
  <c r="F307" i="1"/>
  <c r="F306" i="1"/>
  <c r="F305" i="1"/>
  <c r="F303" i="1"/>
  <c r="F302" i="1"/>
  <c r="F301" i="1"/>
  <c r="F300" i="1"/>
  <c r="F299" i="1"/>
  <c r="F298" i="1"/>
  <c r="F297" i="1"/>
  <c r="F296" i="1"/>
  <c r="F295" i="1"/>
  <c r="F294" i="1"/>
  <c r="F293" i="1"/>
  <c r="F292" i="1"/>
  <c r="F290" i="1"/>
  <c r="F289" i="1"/>
  <c r="F288" i="1"/>
  <c r="F287" i="1"/>
  <c r="F286" i="1"/>
  <c r="F285" i="1"/>
  <c r="F284" i="1"/>
  <c r="F283" i="1"/>
  <c r="F282" i="1"/>
  <c r="F281" i="1"/>
  <c r="F280" i="1"/>
  <c r="F279" i="1"/>
  <c r="F277" i="1"/>
  <c r="F276" i="1"/>
  <c r="F275" i="1"/>
  <c r="F274" i="1"/>
  <c r="F273" i="1"/>
  <c r="F272" i="1"/>
  <c r="F271" i="1"/>
  <c r="F270" i="1"/>
  <c r="F269" i="1"/>
  <c r="F268" i="1"/>
  <c r="F267" i="1"/>
  <c r="F266" i="1"/>
  <c r="F264" i="1"/>
  <c r="F263" i="1"/>
  <c r="F262" i="1"/>
  <c r="F261" i="1"/>
  <c r="F260" i="1"/>
  <c r="F259" i="1"/>
  <c r="F258" i="1"/>
  <c r="F257" i="1"/>
  <c r="F256" i="1"/>
  <c r="F255" i="1"/>
  <c r="F254" i="1"/>
  <c r="F253" i="1"/>
  <c r="F251" i="1"/>
  <c r="F250" i="1"/>
  <c r="F249" i="1"/>
  <c r="F248" i="1"/>
  <c r="F247" i="1"/>
  <c r="F246" i="1"/>
  <c r="F245" i="1"/>
  <c r="F244" i="1"/>
  <c r="F243" i="1"/>
  <c r="F242" i="1"/>
  <c r="F241" i="1"/>
  <c r="F240" i="1"/>
  <c r="F238" i="1"/>
  <c r="F237" i="1"/>
  <c r="F236" i="1"/>
  <c r="F235" i="1"/>
  <c r="F234" i="1"/>
  <c r="F233" i="1"/>
  <c r="F232" i="1"/>
  <c r="F231" i="1"/>
  <c r="F230" i="1"/>
  <c r="F229" i="1"/>
  <c r="F228" i="1"/>
  <c r="F227" i="1"/>
  <c r="F225" i="1"/>
  <c r="F224" i="1"/>
  <c r="F223" i="1"/>
  <c r="F222" i="1"/>
  <c r="F221" i="1"/>
  <c r="F220" i="1"/>
  <c r="F219" i="1"/>
  <c r="F218" i="1"/>
  <c r="F217" i="1"/>
  <c r="F216" i="1"/>
  <c r="F215" i="1"/>
  <c r="F214" i="1"/>
  <c r="F212" i="1"/>
  <c r="F211" i="1"/>
  <c r="F210" i="1"/>
  <c r="F209" i="1"/>
  <c r="F208" i="1"/>
  <c r="F207" i="1"/>
  <c r="F206" i="1"/>
  <c r="F205" i="1"/>
  <c r="F204" i="1"/>
  <c r="F203" i="1"/>
  <c r="F202" i="1"/>
  <c r="F201" i="1"/>
  <c r="F199" i="1"/>
  <c r="F198" i="1"/>
  <c r="F197" i="1"/>
  <c r="F196" i="1"/>
  <c r="F195" i="1"/>
  <c r="F194" i="1"/>
  <c r="F193" i="1"/>
  <c r="F192" i="1"/>
  <c r="F191" i="1"/>
  <c r="F190" i="1"/>
  <c r="F189" i="1"/>
  <c r="F188" i="1"/>
  <c r="F187" i="1"/>
  <c r="F186" i="1"/>
  <c r="F185" i="1"/>
  <c r="F184" i="1"/>
  <c r="F183" i="1"/>
  <c r="F182" i="1"/>
  <c r="F181" i="1"/>
  <c r="F180" i="1"/>
  <c r="F179" i="1"/>
  <c r="F178" i="1"/>
  <c r="F177" i="1"/>
  <c r="F176" i="1"/>
  <c r="F174" i="1"/>
  <c r="F173" i="1"/>
  <c r="F172" i="1"/>
  <c r="F171" i="1"/>
  <c r="F170" i="1"/>
  <c r="F169" i="1"/>
  <c r="F168" i="1"/>
  <c r="F167" i="1"/>
  <c r="F166" i="1"/>
  <c r="F165" i="1"/>
  <c r="F164" i="1"/>
  <c r="F163" i="1"/>
  <c r="F162" i="1"/>
  <c r="F161" i="1"/>
  <c r="F160" i="1"/>
  <c r="F159" i="1"/>
  <c r="F158" i="1"/>
  <c r="F157" i="1"/>
  <c r="F156" i="1"/>
  <c r="F155" i="1"/>
  <c r="F154" i="1"/>
  <c r="F153" i="1"/>
  <c r="F152" i="1"/>
  <c r="F151" i="1"/>
  <c r="F149" i="1"/>
  <c r="F148" i="1"/>
  <c r="F147" i="1"/>
  <c r="F146" i="1"/>
  <c r="F145" i="1"/>
  <c r="F144" i="1"/>
  <c r="F143" i="1"/>
  <c r="F142" i="1"/>
  <c r="F141" i="1"/>
  <c r="I140" i="1"/>
  <c r="H140" i="1"/>
  <c r="G140" i="1"/>
  <c r="F140" i="1"/>
  <c r="F139" i="1"/>
  <c r="F138" i="1"/>
  <c r="F137" i="1"/>
  <c r="F136" i="1"/>
  <c r="F135" i="1"/>
  <c r="F134" i="1"/>
  <c r="F133" i="1"/>
  <c r="F132" i="1"/>
  <c r="F131" i="1"/>
  <c r="F130" i="1"/>
  <c r="F129" i="1"/>
  <c r="F128" i="1"/>
  <c r="F127" i="1"/>
  <c r="F125" i="1"/>
  <c r="F124" i="1"/>
  <c r="F123" i="1"/>
  <c r="F122" i="1"/>
  <c r="F121" i="1"/>
  <c r="F120" i="1"/>
  <c r="F119" i="1"/>
  <c r="F118" i="1"/>
  <c r="F117" i="1"/>
  <c r="F116" i="1"/>
  <c r="F115" i="1"/>
  <c r="F114" i="1"/>
  <c r="F113" i="1"/>
  <c r="F112" i="1"/>
  <c r="F111" i="1"/>
  <c r="F110" i="1"/>
  <c r="F109" i="1"/>
  <c r="F108" i="1"/>
  <c r="F107" i="1"/>
  <c r="F106" i="1"/>
  <c r="F105" i="1"/>
  <c r="F104" i="1"/>
  <c r="F103" i="1"/>
  <c r="F102" i="1"/>
  <c r="E100" i="1"/>
  <c r="F100" i="1" s="1"/>
  <c r="E99" i="1"/>
  <c r="F99" i="1" s="1"/>
  <c r="E98" i="1"/>
  <c r="F98" i="1" s="1"/>
  <c r="E97" i="1"/>
  <c r="F97" i="1" s="1"/>
  <c r="E96" i="1"/>
  <c r="F96" i="1" s="1"/>
  <c r="E95" i="1"/>
  <c r="F95" i="1" s="1"/>
  <c r="E94" i="1"/>
  <c r="F94" i="1" s="1"/>
  <c r="E93" i="1"/>
  <c r="F93" i="1" s="1"/>
  <c r="E92" i="1"/>
  <c r="F92" i="1" s="1"/>
  <c r="E91" i="1"/>
  <c r="F91" i="1" s="1"/>
  <c r="E90" i="1"/>
  <c r="F90" i="1" s="1"/>
  <c r="E89" i="1"/>
  <c r="F89" i="1" s="1"/>
  <c r="E88" i="1"/>
  <c r="F88" i="1" s="1"/>
  <c r="E87" i="1"/>
  <c r="F87" i="1" s="1"/>
  <c r="E86" i="1"/>
  <c r="F86" i="1" s="1"/>
  <c r="E85" i="1"/>
  <c r="F85" i="1" s="1"/>
  <c r="E84" i="1"/>
  <c r="F84" i="1" s="1"/>
  <c r="E83" i="1"/>
  <c r="F83" i="1" s="1"/>
  <c r="E81" i="1"/>
  <c r="F81" i="1" s="1"/>
  <c r="E80" i="1"/>
  <c r="F80" i="1" s="1"/>
  <c r="E79" i="1"/>
  <c r="F79" i="1" s="1"/>
  <c r="E78" i="1"/>
  <c r="F78" i="1" s="1"/>
  <c r="E77" i="1"/>
  <c r="F77" i="1" s="1"/>
  <c r="E76" i="1"/>
  <c r="F76" i="1" s="1"/>
  <c r="E75" i="1"/>
  <c r="F75" i="1" s="1"/>
  <c r="E74" i="1"/>
  <c r="F74" i="1" s="1"/>
  <c r="E73" i="1"/>
  <c r="F73" i="1" s="1"/>
  <c r="E72" i="1"/>
  <c r="F72" i="1" s="1"/>
  <c r="E71" i="1"/>
  <c r="F71" i="1" s="1"/>
  <c r="E70" i="1"/>
  <c r="F70" i="1" s="1"/>
  <c r="E69" i="1"/>
  <c r="F69" i="1" s="1"/>
  <c r="E68" i="1"/>
  <c r="F68" i="1" s="1"/>
  <c r="E67" i="1"/>
  <c r="F67" i="1" s="1"/>
  <c r="E66" i="1"/>
  <c r="F66" i="1" s="1"/>
  <c r="E65" i="1"/>
  <c r="F65" i="1" s="1"/>
  <c r="E64" i="1"/>
  <c r="F64" i="1" s="1"/>
  <c r="E63" i="1"/>
  <c r="F63" i="1" s="1"/>
  <c r="E62" i="1"/>
  <c r="F62" i="1" s="1"/>
  <c r="E61" i="1"/>
  <c r="F61" i="1" s="1"/>
  <c r="E60" i="1"/>
  <c r="F60" i="1" s="1"/>
  <c r="E59" i="1"/>
  <c r="F59" i="1" s="1"/>
  <c r="E58" i="1"/>
  <c r="F58" i="1" s="1"/>
  <c r="E57" i="1"/>
  <c r="F57" i="1" s="1"/>
  <c r="E56" i="1"/>
  <c r="F56" i="1" s="1"/>
  <c r="E55" i="1"/>
  <c r="F55" i="1" s="1"/>
  <c r="E54" i="1"/>
  <c r="F54" i="1" s="1"/>
  <c r="E53" i="1"/>
  <c r="F53" i="1" s="1"/>
  <c r="F52" i="1"/>
  <c r="E52" i="1"/>
  <c r="E50" i="1"/>
  <c r="F50" i="1" s="1"/>
  <c r="E49" i="1"/>
  <c r="F49" i="1" s="1"/>
  <c r="E48" i="1"/>
  <c r="F48" i="1" s="1"/>
  <c r="E47" i="1"/>
  <c r="F47" i="1" s="1"/>
  <c r="E46" i="1"/>
  <c r="F46" i="1" s="1"/>
  <c r="E45" i="1"/>
  <c r="F45" i="1" s="1"/>
  <c r="E44" i="1"/>
  <c r="F44" i="1" s="1"/>
  <c r="E43" i="1"/>
  <c r="F43" i="1" s="1"/>
  <c r="E42" i="1"/>
  <c r="F42" i="1" s="1"/>
  <c r="E41" i="1"/>
  <c r="F41" i="1" s="1"/>
  <c r="E40" i="1"/>
  <c r="F40" i="1" s="1"/>
  <c r="E39" i="1"/>
  <c r="F39" i="1" s="1"/>
  <c r="E38" i="1"/>
  <c r="F38" i="1" s="1"/>
  <c r="E37" i="1"/>
  <c r="F37" i="1" s="1"/>
  <c r="E36" i="1"/>
  <c r="F36" i="1" s="1"/>
  <c r="E35" i="1"/>
  <c r="F35" i="1" s="1"/>
  <c r="E34" i="1"/>
  <c r="F34" i="1" s="1"/>
  <c r="E33" i="1"/>
  <c r="F33" i="1" s="1"/>
  <c r="E32" i="1"/>
  <c r="F32" i="1" s="1"/>
  <c r="E31" i="1"/>
  <c r="F31" i="1" s="1"/>
  <c r="E30" i="1"/>
  <c r="F30" i="1" s="1"/>
  <c r="E29" i="1"/>
  <c r="F29" i="1" s="1"/>
  <c r="E28" i="1"/>
  <c r="F28" i="1" s="1"/>
  <c r="E27" i="1"/>
  <c r="F27" i="1" s="1"/>
  <c r="E25" i="1"/>
  <c r="F25" i="1" s="1"/>
  <c r="E24" i="1"/>
  <c r="F24" i="1" s="1"/>
  <c r="E23" i="1"/>
  <c r="F23" i="1" s="1"/>
  <c r="E22" i="1"/>
  <c r="F22" i="1" s="1"/>
  <c r="E21" i="1"/>
  <c r="F21" i="1" s="1"/>
  <c r="E20" i="1"/>
  <c r="F20" i="1" s="1"/>
  <c r="E19" i="1"/>
  <c r="F19" i="1" s="1"/>
  <c r="E18" i="1"/>
  <c r="F18" i="1" s="1"/>
  <c r="E17" i="1"/>
  <c r="F17" i="1" s="1"/>
  <c r="E16" i="1"/>
  <c r="F16" i="1" s="1"/>
  <c r="E15" i="1"/>
  <c r="F15" i="1" s="1"/>
  <c r="E14" i="1"/>
  <c r="F14" i="1" s="1"/>
  <c r="E13" i="1"/>
  <c r="F13" i="1" s="1"/>
  <c r="E12" i="1"/>
  <c r="F12" i="1" s="1"/>
  <c r="E11" i="1"/>
  <c r="F11" i="1" s="1"/>
  <c r="E10" i="1"/>
  <c r="F10" i="1" s="1"/>
  <c r="E9" i="1"/>
  <c r="F9" i="1" s="1"/>
  <c r="E8" i="1"/>
  <c r="F8" i="1" s="1"/>
  <c r="E7" i="1"/>
  <c r="F7" i="1" s="1"/>
  <c r="E6" i="1"/>
  <c r="F6" i="1" s="1"/>
  <c r="E5" i="1"/>
  <c r="F5" i="1" s="1"/>
  <c r="E4" i="1"/>
  <c r="F4" i="1" s="1"/>
  <c r="E3" i="1"/>
  <c r="F3" i="1" s="1"/>
  <c r="E2" i="1"/>
  <c r="F2" i="1" s="1"/>
  <c r="D20" i="4" l="1"/>
  <c r="E17" i="4"/>
  <c r="J127" i="3"/>
  <c r="I127" i="3"/>
  <c r="H127" i="3"/>
  <c r="J126" i="3"/>
  <c r="H126" i="3"/>
  <c r="I126" i="3"/>
  <c r="H125" i="3"/>
  <c r="I125" i="3"/>
  <c r="J125" i="3"/>
  <c r="H123" i="3"/>
  <c r="I123" i="3"/>
  <c r="J123" i="3"/>
  <c r="J122" i="3"/>
  <c r="H122" i="3"/>
  <c r="I122" i="3"/>
  <c r="I121" i="3"/>
  <c r="H121" i="3"/>
  <c r="J121" i="3"/>
  <c r="H119" i="3"/>
  <c r="I119" i="3"/>
  <c r="J119" i="3"/>
  <c r="I118" i="3"/>
  <c r="H118" i="3"/>
  <c r="J118" i="3"/>
  <c r="J117" i="3"/>
  <c r="H117" i="3"/>
  <c r="I117" i="3"/>
  <c r="J115" i="3"/>
  <c r="I115" i="3"/>
  <c r="H115" i="3"/>
  <c r="H114" i="3"/>
  <c r="J114" i="3"/>
  <c r="I114" i="3"/>
  <c r="I113" i="3"/>
  <c r="J113" i="3"/>
  <c r="H113" i="3"/>
  <c r="I111" i="3"/>
  <c r="J111" i="3"/>
  <c r="H111" i="3"/>
  <c r="H110" i="3"/>
  <c r="J110" i="3"/>
  <c r="I110" i="3"/>
  <c r="J109" i="3"/>
  <c r="H109" i="3"/>
  <c r="I109" i="3"/>
  <c r="J107" i="3"/>
  <c r="H107" i="3"/>
  <c r="I107" i="3"/>
  <c r="J106" i="3"/>
  <c r="I106" i="3"/>
  <c r="H106" i="3"/>
  <c r="I105" i="3"/>
  <c r="J105" i="3"/>
  <c r="H105" i="3"/>
  <c r="I103" i="3"/>
  <c r="H103" i="3"/>
  <c r="J103" i="3"/>
  <c r="J102" i="3"/>
  <c r="I102" i="3"/>
  <c r="H101" i="3"/>
  <c r="J101" i="3"/>
  <c r="I101" i="3"/>
  <c r="H99" i="3"/>
  <c r="J99" i="3"/>
  <c r="I99" i="3"/>
  <c r="H98" i="3"/>
  <c r="J98" i="3"/>
  <c r="I98" i="3"/>
  <c r="H97" i="3"/>
  <c r="J97" i="3"/>
  <c r="I97" i="3"/>
  <c r="H94" i="3"/>
  <c r="I94" i="3"/>
  <c r="J94" i="3"/>
  <c r="J93" i="3"/>
  <c r="H93" i="3"/>
  <c r="I93" i="3"/>
  <c r="I92" i="3"/>
  <c r="H92" i="3"/>
  <c r="J92" i="3"/>
  <c r="H91" i="3"/>
  <c r="J91" i="3"/>
  <c r="I91" i="3"/>
  <c r="I90" i="3"/>
  <c r="H90" i="3"/>
  <c r="J90" i="3"/>
  <c r="I89" i="3"/>
  <c r="J89" i="3"/>
  <c r="H89" i="3"/>
  <c r="J87" i="3"/>
  <c r="I87" i="3"/>
  <c r="H87" i="3"/>
  <c r="I86" i="3"/>
  <c r="H86" i="3"/>
  <c r="J86" i="3"/>
  <c r="I85" i="3"/>
  <c r="H85" i="3"/>
  <c r="J85" i="3"/>
  <c r="J84" i="3"/>
  <c r="H84" i="3"/>
  <c r="I84" i="3"/>
  <c r="H83" i="3"/>
  <c r="I83" i="3"/>
  <c r="J83" i="3"/>
  <c r="I82" i="3"/>
  <c r="H82" i="3"/>
  <c r="J82" i="3"/>
  <c r="I80" i="3"/>
  <c r="J80" i="3"/>
  <c r="H80" i="3"/>
  <c r="I79" i="3"/>
  <c r="J79" i="3"/>
  <c r="H79" i="3"/>
  <c r="H78" i="3"/>
  <c r="I78" i="3"/>
  <c r="J78" i="3"/>
  <c r="I77" i="3"/>
  <c r="H77" i="3"/>
  <c r="J77" i="3"/>
  <c r="H76" i="3"/>
  <c r="J76" i="3"/>
  <c r="I76" i="3"/>
  <c r="H3" i="4"/>
  <c r="J75" i="3"/>
  <c r="H5" i="4"/>
  <c r="H6" i="4"/>
  <c r="I75" i="3"/>
  <c r="H75" i="3"/>
  <c r="H4" i="4"/>
  <c r="H73" i="3"/>
  <c r="I73" i="3"/>
  <c r="J72" i="3"/>
  <c r="I72" i="3"/>
  <c r="H72" i="3"/>
  <c r="J71" i="3"/>
  <c r="I71" i="3"/>
  <c r="H71" i="3"/>
  <c r="H70" i="3"/>
  <c r="J70" i="3"/>
  <c r="I70" i="3"/>
  <c r="I69" i="3"/>
  <c r="H69" i="3"/>
  <c r="J69" i="3"/>
  <c r="J68" i="3"/>
  <c r="I68" i="3"/>
  <c r="H68" i="3"/>
  <c r="H66" i="3"/>
  <c r="I66" i="3"/>
  <c r="J66" i="3"/>
  <c r="J65" i="3"/>
  <c r="I65" i="3"/>
  <c r="H65" i="3"/>
  <c r="J64" i="3"/>
  <c r="H64" i="3"/>
  <c r="I64" i="3"/>
  <c r="J63" i="3"/>
  <c r="I63" i="3"/>
  <c r="H63" i="3"/>
  <c r="H62" i="3"/>
  <c r="I62" i="3"/>
  <c r="J62" i="3"/>
  <c r="I61" i="3"/>
  <c r="H61" i="3"/>
  <c r="J61" i="3"/>
  <c r="J59" i="3"/>
  <c r="I59" i="3"/>
  <c r="H59" i="3"/>
  <c r="I58" i="3"/>
  <c r="J58" i="3"/>
  <c r="H58" i="3"/>
  <c r="H57" i="3"/>
  <c r="J57" i="3"/>
  <c r="I57" i="3"/>
  <c r="H56" i="3"/>
  <c r="I56" i="3"/>
  <c r="J56" i="3"/>
  <c r="J55" i="3"/>
  <c r="I55" i="3"/>
  <c r="H55" i="3"/>
  <c r="J54" i="3"/>
  <c r="I54" i="3"/>
  <c r="H54" i="3"/>
  <c r="J52" i="3"/>
  <c r="I52" i="3"/>
  <c r="H52" i="3"/>
  <c r="J51" i="3"/>
  <c r="I51" i="3"/>
  <c r="H51" i="3"/>
  <c r="H50" i="3"/>
  <c r="J50" i="3"/>
  <c r="I50" i="3"/>
  <c r="J48" i="3"/>
  <c r="I48" i="3"/>
  <c r="H48" i="3"/>
  <c r="I47" i="3"/>
  <c r="H47" i="3"/>
  <c r="J47" i="3"/>
  <c r="I46" i="3"/>
  <c r="H46" i="3"/>
  <c r="J46" i="3"/>
  <c r="J44" i="3"/>
  <c r="I44" i="3"/>
  <c r="H44" i="3"/>
  <c r="J43" i="3"/>
  <c r="I43" i="3"/>
  <c r="H43" i="3"/>
  <c r="H42" i="3"/>
  <c r="I42" i="3"/>
  <c r="J42" i="3"/>
  <c r="J40" i="3"/>
  <c r="I40" i="3"/>
  <c r="H40" i="3"/>
  <c r="J39" i="3"/>
  <c r="H39" i="3"/>
  <c r="I39" i="3"/>
  <c r="J38" i="3"/>
  <c r="H38" i="3"/>
  <c r="I38" i="3"/>
  <c r="J36" i="3"/>
  <c r="I36" i="3"/>
  <c r="H36" i="3"/>
  <c r="J35" i="3"/>
  <c r="I35" i="3"/>
  <c r="H35" i="3"/>
  <c r="J34" i="3"/>
  <c r="I34" i="3"/>
  <c r="H34" i="3"/>
  <c r="J32" i="3"/>
  <c r="I32" i="3"/>
  <c r="H32" i="3"/>
  <c r="J31" i="3"/>
  <c r="I31" i="3"/>
  <c r="H31" i="3"/>
  <c r="J30" i="3"/>
  <c r="I30" i="3"/>
  <c r="H30" i="3"/>
  <c r="J28" i="3"/>
  <c r="I28" i="3"/>
  <c r="H28" i="3"/>
  <c r="J27" i="3"/>
  <c r="I27" i="3"/>
  <c r="H27" i="3"/>
  <c r="J26" i="3"/>
  <c r="I26" i="3"/>
  <c r="H26" i="3"/>
  <c r="J24" i="3"/>
  <c r="I24" i="3"/>
  <c r="H24" i="3"/>
  <c r="J23" i="3"/>
  <c r="I23" i="3"/>
  <c r="H23" i="3"/>
  <c r="J22" i="3"/>
  <c r="I22" i="3"/>
  <c r="H22" i="3"/>
  <c r="J20" i="3"/>
  <c r="I20" i="3"/>
  <c r="H20" i="3"/>
  <c r="J19" i="3"/>
  <c r="I19" i="3"/>
  <c r="H19" i="3"/>
  <c r="J18" i="3"/>
  <c r="I18" i="3"/>
  <c r="H18" i="3"/>
  <c r="J17" i="3"/>
  <c r="I17" i="3"/>
  <c r="H17" i="3"/>
  <c r="J16" i="3"/>
  <c r="I16" i="3"/>
  <c r="H16" i="3"/>
  <c r="J15" i="3"/>
  <c r="I15" i="3"/>
  <c r="H15" i="3"/>
  <c r="J14" i="3"/>
  <c r="I14" i="3"/>
  <c r="H14" i="3"/>
  <c r="J13" i="3"/>
  <c r="I13" i="3"/>
  <c r="H13" i="3"/>
  <c r="J12" i="3"/>
  <c r="I12" i="3"/>
  <c r="H12" i="3"/>
  <c r="J10" i="3"/>
  <c r="I10" i="3"/>
  <c r="H10" i="3"/>
  <c r="J8" i="3"/>
  <c r="I8" i="3"/>
  <c r="H8" i="3"/>
  <c r="J7" i="3"/>
  <c r="I7" i="3"/>
  <c r="H7" i="3"/>
  <c r="J6" i="3"/>
  <c r="I6" i="3"/>
  <c r="H6" i="3"/>
  <c r="J5" i="3"/>
  <c r="I5" i="3"/>
  <c r="H5" i="3"/>
  <c r="J4" i="3"/>
  <c r="I4" i="3"/>
  <c r="H4" i="3"/>
  <c r="J3" i="3"/>
  <c r="I3" i="3"/>
  <c r="H3" i="3"/>
  <c r="J2" i="3"/>
  <c r="I2" i="3"/>
  <c r="H2" i="3"/>
  <c r="AE154" i="2"/>
  <c r="AB154" i="2"/>
  <c r="AA154" i="2"/>
  <c r="AE153" i="2"/>
  <c r="AB153" i="2"/>
  <c r="AA153" i="2"/>
  <c r="AE152" i="2"/>
  <c r="AB152" i="2"/>
  <c r="AA152" i="2"/>
  <c r="AE151" i="2"/>
  <c r="AB151" i="2"/>
  <c r="AA151" i="2"/>
  <c r="AE150" i="2"/>
  <c r="AB150" i="2"/>
  <c r="AA150" i="2"/>
  <c r="AE149" i="2"/>
  <c r="AB149" i="2"/>
  <c r="AA149" i="2"/>
  <c r="AE147" i="2"/>
  <c r="AB147" i="2"/>
  <c r="AA147" i="2"/>
  <c r="AE146" i="2"/>
  <c r="AB146" i="2"/>
  <c r="AA146" i="2"/>
  <c r="AE145" i="2"/>
  <c r="AB145" i="2"/>
  <c r="AA145" i="2"/>
  <c r="AE144" i="2"/>
  <c r="AB144" i="2"/>
  <c r="AA144" i="2"/>
  <c r="AE143" i="2"/>
  <c r="AB143" i="2"/>
  <c r="AA143" i="2"/>
  <c r="AE142" i="2"/>
  <c r="AB142" i="2"/>
  <c r="AA142" i="2"/>
  <c r="AE140" i="2"/>
  <c r="AB140" i="2"/>
  <c r="AA140" i="2"/>
  <c r="AE139" i="2"/>
  <c r="AB139" i="2"/>
  <c r="AA139" i="2"/>
  <c r="AE138" i="2"/>
  <c r="AB138" i="2"/>
  <c r="AA138" i="2"/>
  <c r="AE137" i="2"/>
  <c r="AB137" i="2"/>
  <c r="AA137" i="2"/>
  <c r="AE136" i="2"/>
  <c r="AB136" i="2"/>
  <c r="AA136" i="2"/>
  <c r="AE135" i="2"/>
  <c r="AB135" i="2"/>
  <c r="AA135" i="2"/>
  <c r="AE133" i="2"/>
  <c r="AB133" i="2"/>
  <c r="AA133" i="2"/>
  <c r="AE132" i="2"/>
  <c r="AB132" i="2"/>
  <c r="AA132" i="2"/>
  <c r="AE131" i="2"/>
  <c r="AB131" i="2"/>
  <c r="AA131" i="2"/>
  <c r="AE130" i="2"/>
  <c r="AB130" i="2"/>
  <c r="AA130" i="2"/>
  <c r="AE129" i="2"/>
  <c r="AB129" i="2"/>
  <c r="AA129" i="2"/>
  <c r="AE128" i="2"/>
  <c r="AB128" i="2"/>
  <c r="AA128" i="2"/>
  <c r="AE126" i="2"/>
  <c r="AB126" i="2"/>
  <c r="AA126" i="2"/>
  <c r="AE125" i="2"/>
  <c r="AB125" i="2"/>
  <c r="AA125" i="2"/>
  <c r="AE124" i="2"/>
  <c r="AB124" i="2"/>
  <c r="AA124" i="2"/>
  <c r="AE123" i="2"/>
  <c r="AB123" i="2"/>
  <c r="AA123" i="2"/>
  <c r="AE122" i="2"/>
  <c r="AB122" i="2"/>
  <c r="AA122" i="2"/>
  <c r="AE121" i="2"/>
  <c r="AB121" i="2"/>
  <c r="AA121" i="2"/>
  <c r="AE119" i="2"/>
  <c r="AB119" i="2"/>
  <c r="AA119" i="2"/>
  <c r="AE118" i="2"/>
  <c r="AB118" i="2"/>
  <c r="AA118" i="2"/>
  <c r="AE117" i="2"/>
  <c r="AB117" i="2"/>
  <c r="AA117" i="2"/>
  <c r="AE116" i="2"/>
  <c r="AB116" i="2"/>
  <c r="AA116" i="2"/>
  <c r="AE115" i="2"/>
  <c r="AB115" i="2"/>
  <c r="AA115" i="2"/>
  <c r="AE114" i="2"/>
  <c r="AB114" i="2"/>
  <c r="AA114" i="2"/>
  <c r="AE112" i="2"/>
  <c r="AB112" i="2"/>
  <c r="AA112" i="2"/>
  <c r="AE111" i="2"/>
  <c r="AB111" i="2"/>
  <c r="AA111" i="2"/>
  <c r="AE110" i="2"/>
  <c r="AB110" i="2"/>
  <c r="AA110" i="2"/>
  <c r="AE109" i="2"/>
  <c r="AB109" i="2"/>
  <c r="AA109" i="2"/>
  <c r="AE108" i="2"/>
  <c r="AB108" i="2"/>
  <c r="AA108" i="2"/>
  <c r="AE107" i="2"/>
  <c r="AB107" i="2"/>
  <c r="AA107" i="2"/>
  <c r="AE105" i="2"/>
  <c r="AB105" i="2"/>
  <c r="AA105" i="2"/>
  <c r="AB104" i="2"/>
  <c r="AA104" i="2"/>
  <c r="AE104" i="2"/>
  <c r="AE103" i="2"/>
  <c r="AB103" i="2"/>
  <c r="AA103" i="2"/>
  <c r="AE102" i="2"/>
  <c r="AB102" i="2"/>
  <c r="AA102" i="2"/>
  <c r="AA101" i="2"/>
  <c r="AE101" i="2"/>
  <c r="AB101" i="2"/>
  <c r="AE100" i="2"/>
  <c r="AA100" i="2"/>
  <c r="AB100" i="2"/>
  <c r="AE98" i="2"/>
  <c r="AB98" i="2"/>
  <c r="AA98" i="2"/>
  <c r="AB97" i="2"/>
  <c r="AE97" i="2"/>
  <c r="AA97" i="2"/>
  <c r="AE96" i="2"/>
  <c r="AB96" i="2"/>
  <c r="AA96" i="2"/>
  <c r="AB95" i="2"/>
  <c r="AA95" i="2"/>
  <c r="AE95" i="2"/>
  <c r="AE94" i="2"/>
  <c r="AB94" i="2"/>
  <c r="AA94" i="2"/>
  <c r="AB93" i="2"/>
  <c r="AA93" i="2"/>
  <c r="AE93" i="2"/>
  <c r="AE91" i="2"/>
  <c r="AB91" i="2"/>
  <c r="AA91" i="2"/>
  <c r="AE90" i="2"/>
  <c r="AB90" i="2"/>
  <c r="AA90" i="2"/>
  <c r="AE89" i="2"/>
  <c r="AB89" i="2"/>
  <c r="AA89" i="2"/>
  <c r="AA88" i="2"/>
  <c r="AE88" i="2"/>
  <c r="AB88" i="2"/>
  <c r="AA87" i="2"/>
  <c r="AE87" i="2"/>
  <c r="AB87" i="2"/>
  <c r="AE86" i="2"/>
  <c r="AB86" i="2"/>
  <c r="AA86" i="2"/>
  <c r="AA84" i="2"/>
  <c r="AE84" i="2"/>
  <c r="AB84" i="2"/>
  <c r="AE83" i="2"/>
  <c r="AB83" i="2"/>
  <c r="AA83" i="2"/>
  <c r="AE82" i="2"/>
  <c r="AB82" i="2"/>
  <c r="AA82" i="2"/>
  <c r="AA81" i="2"/>
  <c r="AB81" i="2"/>
  <c r="AE81" i="2"/>
  <c r="AE80" i="2"/>
  <c r="AB80" i="2"/>
  <c r="AA80" i="2"/>
  <c r="AE79" i="2"/>
  <c r="AA79" i="2"/>
  <c r="AB79" i="2"/>
  <c r="AA77" i="2"/>
  <c r="AE77" i="2"/>
  <c r="AB77" i="2"/>
  <c r="AB76" i="2"/>
  <c r="AE76" i="2"/>
  <c r="AA76" i="2"/>
  <c r="AE75" i="2"/>
  <c r="AB75" i="2"/>
  <c r="AA75" i="2"/>
  <c r="AA74" i="2"/>
  <c r="AB74" i="2"/>
  <c r="AE74" i="2"/>
  <c r="AE73" i="2"/>
  <c r="AA73" i="2"/>
  <c r="AB73" i="2"/>
  <c r="AE72" i="2"/>
  <c r="AB72" i="2"/>
  <c r="AA72" i="2"/>
  <c r="AB70" i="2"/>
  <c r="AA70" i="2"/>
  <c r="AE70" i="2"/>
  <c r="AE69" i="2"/>
  <c r="AB69" i="2"/>
  <c r="AA69" i="2"/>
  <c r="AE68" i="2"/>
  <c r="AB68" i="2"/>
  <c r="AA68" i="2"/>
  <c r="AB67" i="2"/>
  <c r="AE67" i="2"/>
  <c r="AA67" i="2"/>
  <c r="AA66" i="2"/>
  <c r="AB66" i="2"/>
  <c r="AE66" i="2"/>
  <c r="AE65" i="2"/>
  <c r="AB65" i="2"/>
  <c r="AA65" i="2"/>
  <c r="AA63" i="2"/>
  <c r="AB63" i="2"/>
  <c r="AE63" i="2"/>
  <c r="AE62" i="2"/>
  <c r="AB62" i="2"/>
  <c r="AA62" i="2"/>
  <c r="AE61" i="2"/>
  <c r="AB61" i="2"/>
  <c r="AA61" i="2"/>
  <c r="AE60" i="2"/>
  <c r="AB60" i="2"/>
  <c r="AA60" i="2"/>
  <c r="AE59" i="2"/>
  <c r="AB59" i="2"/>
  <c r="AA59" i="2"/>
  <c r="AB58" i="2"/>
  <c r="AA58" i="2"/>
  <c r="AE58" i="2"/>
  <c r="AA56" i="2"/>
  <c r="AB56" i="2"/>
  <c r="AE56" i="2"/>
  <c r="AA55" i="2"/>
  <c r="AB55" i="2"/>
  <c r="AE55" i="2"/>
  <c r="AE54" i="2"/>
  <c r="AB54" i="2"/>
  <c r="AA54" i="2"/>
  <c r="AE53" i="2"/>
  <c r="AB53" i="2"/>
  <c r="AA53" i="2"/>
  <c r="AE52" i="2"/>
  <c r="AB52" i="2"/>
  <c r="AA52" i="2"/>
  <c r="AE51" i="2"/>
  <c r="AB51" i="2"/>
  <c r="AA51" i="2"/>
  <c r="AE49" i="2"/>
  <c r="AB49" i="2"/>
  <c r="AA49" i="2"/>
  <c r="AB48" i="2"/>
  <c r="AA48" i="2"/>
  <c r="AB47" i="2"/>
  <c r="AA47" i="2"/>
  <c r="AE47" i="2"/>
  <c r="AA46" i="2"/>
  <c r="AB46" i="2"/>
  <c r="AE46" i="2"/>
  <c r="AA45" i="2"/>
  <c r="AE45" i="2"/>
  <c r="AB45" i="2"/>
  <c r="AE44" i="2"/>
  <c r="AB44" i="2"/>
  <c r="AA44" i="2"/>
  <c r="AF42" i="2"/>
  <c r="AD42" i="2"/>
  <c r="AC42" i="2"/>
  <c r="AB42" i="2"/>
  <c r="AA42" i="2"/>
  <c r="AE42" i="2"/>
  <c r="AC41" i="2"/>
  <c r="AD41" i="2"/>
  <c r="AF41" i="2"/>
  <c r="AA41" i="2"/>
  <c r="AE41" i="2"/>
  <c r="AB41" i="2"/>
  <c r="AF40" i="2"/>
  <c r="AD40" i="2"/>
  <c r="AC40" i="2"/>
  <c r="AA40" i="2"/>
  <c r="AB40" i="2"/>
  <c r="AE40" i="2"/>
  <c r="AC39" i="2"/>
  <c r="AD39" i="2"/>
  <c r="AF39" i="2"/>
  <c r="AA39" i="2"/>
  <c r="AB39" i="2"/>
  <c r="AE39" i="2"/>
  <c r="AC38" i="2"/>
  <c r="AF38" i="2"/>
  <c r="AD38" i="2"/>
  <c r="AB38" i="2"/>
  <c r="AA38" i="2"/>
  <c r="AE38" i="2"/>
  <c r="AC37" i="2"/>
  <c r="AF37" i="2"/>
  <c r="AD37" i="2"/>
  <c r="AA37" i="2"/>
  <c r="AE37" i="2"/>
  <c r="AB37" i="2"/>
  <c r="AF35" i="2"/>
  <c r="AD35" i="2"/>
  <c r="AC35" i="2"/>
  <c r="AA35" i="2"/>
  <c r="AB35" i="2"/>
  <c r="AE35" i="2"/>
  <c r="AD34" i="2"/>
  <c r="AC34" i="2"/>
  <c r="AF34" i="2"/>
  <c r="AA34" i="2"/>
  <c r="AE34" i="2"/>
  <c r="AB34" i="2"/>
  <c r="AD33" i="2"/>
  <c r="AC33" i="2"/>
  <c r="AF33" i="2"/>
  <c r="AA33" i="2"/>
  <c r="AB33" i="2"/>
  <c r="AE33" i="2"/>
  <c r="AD32" i="2"/>
  <c r="AC32" i="2"/>
  <c r="AF32" i="2"/>
  <c r="AB32" i="2"/>
  <c r="AE32" i="2"/>
  <c r="AA32" i="2"/>
  <c r="AF31" i="2"/>
  <c r="AD31" i="2"/>
  <c r="AC31" i="2"/>
  <c r="AB31" i="2"/>
  <c r="AE31" i="2"/>
  <c r="AA31" i="2"/>
  <c r="AC30" i="2"/>
  <c r="AD30" i="2"/>
  <c r="AF30" i="2"/>
  <c r="AA30" i="2"/>
  <c r="AE30" i="2"/>
  <c r="AB30" i="2"/>
  <c r="AC28" i="2"/>
  <c r="AD28" i="2"/>
  <c r="AF28" i="2"/>
  <c r="AB28" i="2"/>
  <c r="AE28" i="2"/>
  <c r="AA28" i="2"/>
  <c r="AF27" i="2"/>
  <c r="AD27" i="2"/>
  <c r="AC27" i="2"/>
  <c r="AA27" i="2"/>
  <c r="AE27" i="2"/>
  <c r="AB27" i="2"/>
  <c r="AC26" i="2"/>
  <c r="AF26" i="2"/>
  <c r="AD26" i="2"/>
  <c r="AA26" i="2"/>
  <c r="AB26" i="2"/>
  <c r="AE26" i="2"/>
  <c r="AC25" i="2"/>
  <c r="AF25" i="2"/>
  <c r="AD25" i="2"/>
  <c r="AE25" i="2"/>
  <c r="AB25" i="2"/>
  <c r="AA25" i="2"/>
  <c r="AF24" i="2"/>
  <c r="AC24" i="2"/>
  <c r="AD24" i="2"/>
  <c r="AE24" i="2"/>
  <c r="AA24" i="2"/>
  <c r="AB24" i="2"/>
  <c r="AC23" i="2"/>
  <c r="AD23" i="2"/>
  <c r="AF23" i="2"/>
  <c r="AE23" i="2"/>
  <c r="AA23" i="2"/>
  <c r="AB23" i="2"/>
  <c r="AC21" i="2"/>
  <c r="AD21" i="2"/>
  <c r="AF21" i="2"/>
  <c r="AE21" i="2"/>
  <c r="AA21" i="2"/>
  <c r="AB21" i="2"/>
  <c r="AF20" i="2"/>
  <c r="AD20" i="2"/>
  <c r="AC20" i="2"/>
  <c r="AE20" i="2"/>
  <c r="AB20" i="2"/>
  <c r="AA20" i="2"/>
  <c r="AD19" i="2"/>
  <c r="AC19" i="2"/>
  <c r="AF19" i="2"/>
  <c r="AA19" i="2"/>
  <c r="AB19" i="2"/>
  <c r="AE19" i="2"/>
  <c r="AC17" i="2"/>
  <c r="AD17" i="2"/>
  <c r="AF17" i="2"/>
  <c r="AB17" i="2"/>
  <c r="AE17" i="2"/>
  <c r="AA17" i="2"/>
  <c r="AD16" i="2"/>
  <c r="AF16" i="2"/>
  <c r="AC16" i="2"/>
  <c r="AE16" i="2"/>
  <c r="AB16" i="2"/>
  <c r="AA16" i="2"/>
  <c r="AF14" i="2"/>
  <c r="AD14" i="2"/>
  <c r="AC14" i="2"/>
  <c r="AB14" i="2"/>
  <c r="AE14" i="2"/>
  <c r="AA14" i="2"/>
  <c r="AF13" i="2"/>
  <c r="AD13" i="2"/>
  <c r="AC13" i="2"/>
  <c r="AE13" i="2"/>
  <c r="AB13" i="2"/>
  <c r="AA13" i="2"/>
  <c r="AD12" i="2"/>
  <c r="AF12" i="2"/>
  <c r="AC12" i="2"/>
  <c r="AE12" i="2"/>
  <c r="AB12" i="2"/>
  <c r="AA12" i="2"/>
  <c r="AD11" i="2"/>
  <c r="AF11" i="2"/>
  <c r="AC11" i="2"/>
  <c r="AE11" i="2"/>
  <c r="AB11" i="2"/>
  <c r="AA11" i="2"/>
  <c r="AD10" i="2"/>
  <c r="AF10" i="2"/>
  <c r="AC10" i="2"/>
  <c r="AE10" i="2"/>
  <c r="AB10" i="2"/>
  <c r="AA10" i="2"/>
  <c r="AF9" i="2"/>
  <c r="AD9" i="2"/>
  <c r="AC9" i="2"/>
  <c r="AB9" i="2"/>
  <c r="AA9" i="2"/>
  <c r="AE9" i="2"/>
  <c r="AD7" i="2"/>
  <c r="AF7" i="2"/>
  <c r="AC7" i="2"/>
  <c r="AA7" i="2"/>
  <c r="AB7" i="2"/>
  <c r="AE7" i="2"/>
  <c r="AF6" i="2"/>
  <c r="AD6" i="2"/>
  <c r="AC6" i="2"/>
  <c r="AB6" i="2"/>
  <c r="AA6" i="2"/>
  <c r="AE6" i="2"/>
  <c r="AF5" i="2"/>
  <c r="AD5" i="2"/>
  <c r="AC5" i="2"/>
  <c r="AB5" i="2"/>
  <c r="AA5" i="2"/>
  <c r="AE5" i="2"/>
  <c r="AF4" i="2"/>
  <c r="AC4" i="2"/>
  <c r="AD4" i="2"/>
  <c r="AE4" i="2"/>
  <c r="AB4" i="2"/>
  <c r="AA4" i="2"/>
  <c r="AF3" i="2"/>
  <c r="AD3" i="2"/>
  <c r="AC3" i="2"/>
  <c r="AB3" i="2"/>
  <c r="AA3" i="2"/>
  <c r="AE3" i="2"/>
  <c r="AC2" i="2"/>
  <c r="AD2" i="2"/>
  <c r="AF2" i="2"/>
  <c r="AA2" i="2"/>
  <c r="AB2" i="2"/>
  <c r="AE2" i="2"/>
  <c r="H329" i="1"/>
  <c r="I329" i="1"/>
  <c r="G329" i="1"/>
  <c r="H328" i="1"/>
  <c r="I328" i="1"/>
  <c r="G328" i="1"/>
  <c r="I327" i="1"/>
  <c r="H327" i="1"/>
  <c r="G327" i="1"/>
  <c r="I326" i="1"/>
  <c r="H326" i="1"/>
  <c r="G326" i="1"/>
  <c r="G325" i="1"/>
  <c r="I325" i="1"/>
  <c r="H325" i="1"/>
  <c r="I324" i="1"/>
  <c r="H324" i="1"/>
  <c r="G324" i="1"/>
  <c r="H323" i="1"/>
  <c r="I323" i="1"/>
  <c r="G323" i="1"/>
  <c r="I322" i="1"/>
  <c r="H322" i="1"/>
  <c r="G322" i="1"/>
  <c r="G321" i="1"/>
  <c r="I321" i="1"/>
  <c r="H321" i="1"/>
  <c r="H320" i="1"/>
  <c r="G320" i="1"/>
  <c r="I320" i="1"/>
  <c r="I319" i="1"/>
  <c r="H319" i="1"/>
  <c r="G319" i="1"/>
  <c r="I318" i="1"/>
  <c r="H318" i="1"/>
  <c r="G318" i="1"/>
  <c r="H316" i="1"/>
  <c r="I316" i="1"/>
  <c r="G316" i="1"/>
  <c r="I315" i="1"/>
  <c r="H315" i="1"/>
  <c r="G315" i="1"/>
  <c r="I314" i="1"/>
  <c r="H314" i="1"/>
  <c r="G314" i="1"/>
  <c r="G313" i="1"/>
  <c r="I313" i="1"/>
  <c r="H313" i="1"/>
  <c r="H312" i="1"/>
  <c r="I312" i="1"/>
  <c r="G312" i="1"/>
  <c r="I311" i="1"/>
  <c r="H311" i="1"/>
  <c r="G311" i="1"/>
  <c r="G310" i="1"/>
  <c r="H310" i="1"/>
  <c r="I310" i="1"/>
  <c r="I309" i="1"/>
  <c r="H309" i="1"/>
  <c r="G309" i="1"/>
  <c r="I307" i="1"/>
  <c r="H307" i="1"/>
  <c r="G307" i="1"/>
  <c r="G306" i="1"/>
  <c r="H306" i="1"/>
  <c r="I306" i="1"/>
  <c r="I305" i="1"/>
  <c r="G305" i="1"/>
  <c r="H305" i="1"/>
  <c r="G303" i="1"/>
  <c r="H303" i="1"/>
  <c r="I303" i="1"/>
  <c r="G302" i="1"/>
  <c r="I302" i="1"/>
  <c r="H302" i="1"/>
  <c r="H301" i="1"/>
  <c r="G301" i="1"/>
  <c r="I301" i="1"/>
  <c r="I300" i="1"/>
  <c r="H300" i="1"/>
  <c r="G300" i="1"/>
  <c r="G299" i="1"/>
  <c r="H299" i="1"/>
  <c r="I299" i="1"/>
  <c r="G298" i="1"/>
  <c r="H298" i="1"/>
  <c r="I298" i="1"/>
  <c r="I297" i="1"/>
  <c r="G297" i="1"/>
  <c r="H297" i="1"/>
  <c r="H296" i="1"/>
  <c r="I296" i="1"/>
  <c r="G296" i="1"/>
  <c r="I295" i="1"/>
  <c r="H295" i="1"/>
  <c r="G295" i="1"/>
  <c r="H294" i="1"/>
  <c r="G294" i="1"/>
  <c r="I294" i="1"/>
  <c r="I293" i="1"/>
  <c r="H293" i="1"/>
  <c r="G293" i="1"/>
  <c r="I292" i="1"/>
  <c r="G292" i="1"/>
  <c r="H292" i="1"/>
  <c r="I290" i="1"/>
  <c r="H290" i="1"/>
  <c r="G290" i="1"/>
  <c r="G289" i="1"/>
  <c r="H289" i="1"/>
  <c r="I289" i="1"/>
  <c r="H288" i="1"/>
  <c r="G288" i="1"/>
  <c r="I288" i="1"/>
  <c r="G287" i="1"/>
  <c r="H287" i="1"/>
  <c r="I287" i="1"/>
  <c r="G286" i="1"/>
  <c r="H286" i="1"/>
  <c r="I286" i="1"/>
  <c r="G285" i="1"/>
  <c r="H285" i="1"/>
  <c r="I285" i="1"/>
  <c r="I284" i="1"/>
  <c r="H284" i="1"/>
  <c r="G284" i="1"/>
  <c r="I283" i="1"/>
  <c r="H283" i="1"/>
  <c r="G283" i="1"/>
  <c r="H282" i="1"/>
  <c r="G282" i="1"/>
  <c r="I282" i="1"/>
  <c r="G281" i="1"/>
  <c r="I281" i="1"/>
  <c r="H281" i="1"/>
  <c r="H280" i="1"/>
  <c r="I280" i="1"/>
  <c r="G280" i="1"/>
  <c r="G279" i="1"/>
  <c r="H279" i="1"/>
  <c r="I279" i="1"/>
  <c r="G277" i="1"/>
  <c r="H277" i="1"/>
  <c r="I277" i="1"/>
  <c r="G276" i="1"/>
  <c r="I276" i="1"/>
  <c r="H276" i="1"/>
  <c r="G275" i="1"/>
  <c r="H275" i="1"/>
  <c r="I275" i="1"/>
  <c r="I274" i="1"/>
  <c r="G274" i="1"/>
  <c r="H274" i="1"/>
  <c r="I273" i="1"/>
  <c r="G273" i="1"/>
  <c r="H273" i="1"/>
  <c r="H272" i="1"/>
  <c r="I272" i="1"/>
  <c r="G272" i="1"/>
  <c r="G271" i="1"/>
  <c r="H271" i="1"/>
  <c r="I271" i="1"/>
  <c r="I270" i="1"/>
  <c r="H270" i="1"/>
  <c r="G270" i="1"/>
  <c r="I269" i="1"/>
  <c r="H269" i="1"/>
  <c r="G269" i="1"/>
  <c r="I268" i="1"/>
  <c r="H268" i="1"/>
  <c r="G268" i="1"/>
  <c r="H267" i="1"/>
  <c r="G267" i="1"/>
  <c r="I267" i="1"/>
  <c r="G266" i="1"/>
  <c r="H266" i="1"/>
  <c r="I266" i="1"/>
  <c r="G264" i="1"/>
  <c r="H264" i="1"/>
  <c r="I264" i="1"/>
  <c r="I263" i="1"/>
  <c r="H263" i="1"/>
  <c r="G263" i="1"/>
  <c r="I262" i="1"/>
  <c r="H262" i="1"/>
  <c r="G262" i="1"/>
  <c r="G261" i="1"/>
  <c r="H261" i="1"/>
  <c r="I261" i="1"/>
  <c r="I260" i="1"/>
  <c r="H260" i="1"/>
  <c r="G260" i="1"/>
  <c r="I259" i="1"/>
  <c r="H259" i="1"/>
  <c r="G259" i="1"/>
  <c r="G258" i="1"/>
  <c r="I258" i="1"/>
  <c r="H258" i="1"/>
  <c r="I257" i="1"/>
  <c r="H257" i="1"/>
  <c r="G257" i="1"/>
  <c r="G256" i="1"/>
  <c r="H256" i="1"/>
  <c r="I256" i="1"/>
  <c r="I255" i="1"/>
  <c r="H255" i="1"/>
  <c r="G255" i="1"/>
  <c r="G254" i="1"/>
  <c r="I254" i="1"/>
  <c r="H254" i="1"/>
  <c r="H253" i="1"/>
  <c r="I253" i="1"/>
  <c r="G253" i="1"/>
  <c r="G251" i="1"/>
  <c r="H251" i="1"/>
  <c r="I251" i="1"/>
  <c r="I250" i="1"/>
  <c r="G250" i="1"/>
  <c r="H250" i="1"/>
  <c r="H249" i="1"/>
  <c r="I249" i="1"/>
  <c r="G249" i="1"/>
  <c r="G248" i="1"/>
  <c r="H248" i="1"/>
  <c r="I248" i="1"/>
  <c r="G247" i="1"/>
  <c r="H247" i="1"/>
  <c r="I247" i="1"/>
  <c r="I246" i="1"/>
  <c r="G246" i="1"/>
  <c r="H246" i="1"/>
  <c r="I245" i="1"/>
  <c r="H245" i="1"/>
  <c r="G245" i="1"/>
  <c r="H244" i="1"/>
  <c r="G244" i="1"/>
  <c r="I244" i="1"/>
  <c r="I243" i="1"/>
  <c r="H243" i="1"/>
  <c r="G243" i="1"/>
  <c r="I242" i="1"/>
  <c r="H242" i="1"/>
  <c r="G242" i="1"/>
  <c r="I241" i="1"/>
  <c r="H241" i="1"/>
  <c r="G241" i="1"/>
  <c r="H240" i="1"/>
  <c r="G240" i="1"/>
  <c r="I240" i="1"/>
  <c r="I238" i="1"/>
  <c r="G238" i="1"/>
  <c r="H238" i="1"/>
  <c r="H237" i="1"/>
  <c r="I237" i="1"/>
  <c r="G237" i="1"/>
  <c r="H236" i="1"/>
  <c r="I236" i="1"/>
  <c r="G236" i="1"/>
  <c r="H235" i="1"/>
  <c r="I235" i="1"/>
  <c r="G235" i="1"/>
  <c r="I234" i="1"/>
  <c r="H234" i="1"/>
  <c r="G234" i="1"/>
  <c r="I233" i="1"/>
  <c r="G233" i="1"/>
  <c r="H233" i="1"/>
  <c r="H232" i="1"/>
  <c r="G232" i="1"/>
  <c r="I232" i="1"/>
  <c r="I231" i="1"/>
  <c r="H231" i="1"/>
  <c r="G231" i="1"/>
  <c r="G230" i="1"/>
  <c r="H230" i="1"/>
  <c r="I230" i="1"/>
  <c r="G229" i="1"/>
  <c r="H229" i="1"/>
  <c r="I229" i="1"/>
  <c r="I228" i="1"/>
  <c r="G228" i="1"/>
  <c r="H228" i="1"/>
  <c r="G227" i="1"/>
  <c r="H227" i="1"/>
  <c r="I227" i="1"/>
  <c r="H225" i="1"/>
  <c r="I225" i="1"/>
  <c r="G225" i="1"/>
  <c r="H224" i="1"/>
  <c r="G224" i="1"/>
  <c r="I224" i="1"/>
  <c r="I223" i="1"/>
  <c r="H223" i="1"/>
  <c r="G223" i="1"/>
  <c r="I222" i="1"/>
  <c r="H222" i="1"/>
  <c r="G222" i="1"/>
  <c r="H221" i="1"/>
  <c r="I221" i="1"/>
  <c r="G221" i="1"/>
  <c r="G220" i="1"/>
  <c r="I220" i="1"/>
  <c r="H220" i="1"/>
  <c r="I219" i="1"/>
  <c r="H219" i="1"/>
  <c r="G219" i="1"/>
  <c r="I218" i="1"/>
  <c r="H218" i="1"/>
  <c r="G218" i="1"/>
  <c r="G217" i="1"/>
  <c r="I217" i="1"/>
  <c r="H217" i="1"/>
  <c r="H216" i="1"/>
  <c r="I216" i="1"/>
  <c r="G216" i="1"/>
  <c r="G215" i="1"/>
  <c r="H215" i="1"/>
  <c r="I215" i="1"/>
  <c r="H214" i="1"/>
  <c r="G214" i="1"/>
  <c r="I214" i="1"/>
  <c r="H212" i="1"/>
  <c r="G212" i="1"/>
  <c r="I212" i="1"/>
  <c r="I211" i="1"/>
  <c r="H211" i="1"/>
  <c r="G211" i="1"/>
  <c r="H210" i="1"/>
  <c r="I210" i="1"/>
  <c r="G210" i="1"/>
  <c r="H209" i="1"/>
  <c r="I209" i="1"/>
  <c r="G209" i="1"/>
  <c r="H208" i="1"/>
  <c r="I208" i="1"/>
  <c r="G208" i="1"/>
  <c r="H207" i="1"/>
  <c r="I207" i="1"/>
  <c r="G207" i="1"/>
  <c r="G206" i="1"/>
  <c r="I206" i="1"/>
  <c r="H206" i="1"/>
  <c r="G205" i="1"/>
  <c r="I205" i="1"/>
  <c r="H205" i="1"/>
  <c r="I204" i="1"/>
  <c r="H204" i="1"/>
  <c r="G204" i="1"/>
  <c r="G203" i="1"/>
  <c r="I203" i="1"/>
  <c r="H203" i="1"/>
  <c r="H202" i="1"/>
  <c r="G202" i="1"/>
  <c r="I202" i="1"/>
  <c r="I201" i="1"/>
  <c r="H201" i="1"/>
  <c r="G201" i="1"/>
  <c r="H199" i="1"/>
  <c r="G199" i="1"/>
  <c r="I199" i="1"/>
  <c r="H198" i="1"/>
  <c r="G198" i="1"/>
  <c r="I198" i="1"/>
  <c r="I197" i="1"/>
  <c r="H197" i="1"/>
  <c r="G197" i="1"/>
  <c r="G196" i="1"/>
  <c r="H196" i="1"/>
  <c r="I196" i="1"/>
  <c r="I195" i="1"/>
  <c r="G195" i="1"/>
  <c r="H195" i="1"/>
  <c r="G194" i="1"/>
  <c r="I194" i="1"/>
  <c r="H194" i="1"/>
  <c r="I193" i="1"/>
  <c r="H193" i="1"/>
  <c r="G193" i="1"/>
  <c r="G192" i="1"/>
  <c r="I192" i="1"/>
  <c r="H192" i="1"/>
  <c r="G191" i="1"/>
  <c r="I191" i="1"/>
  <c r="H191" i="1"/>
  <c r="H190" i="1"/>
  <c r="G190" i="1"/>
  <c r="I190" i="1"/>
  <c r="I189" i="1"/>
  <c r="G189" i="1"/>
  <c r="H189" i="1"/>
  <c r="H188" i="1"/>
  <c r="I188" i="1"/>
  <c r="G188" i="1"/>
  <c r="I187" i="1"/>
  <c r="H187" i="1"/>
  <c r="G187" i="1"/>
  <c r="I186" i="1"/>
  <c r="H186" i="1"/>
  <c r="G186" i="1"/>
  <c r="I185" i="1"/>
  <c r="H185" i="1"/>
  <c r="G185" i="1"/>
  <c r="I184" i="1"/>
  <c r="H184" i="1"/>
  <c r="G184" i="1"/>
  <c r="I183" i="1"/>
  <c r="G183" i="1"/>
  <c r="H183" i="1"/>
  <c r="G182" i="1"/>
  <c r="I182" i="1"/>
  <c r="H182" i="1"/>
  <c r="H181" i="1"/>
  <c r="I181" i="1"/>
  <c r="G181" i="1"/>
  <c r="H180" i="1"/>
  <c r="I180" i="1"/>
  <c r="G180" i="1"/>
  <c r="I179" i="1"/>
  <c r="H179" i="1"/>
  <c r="G179" i="1"/>
  <c r="I178" i="1"/>
  <c r="G178" i="1"/>
  <c r="H178" i="1"/>
  <c r="I177" i="1"/>
  <c r="H177" i="1"/>
  <c r="G177" i="1"/>
  <c r="G176" i="1"/>
  <c r="I176" i="1"/>
  <c r="H176" i="1"/>
  <c r="I174" i="1"/>
  <c r="G174" i="1"/>
  <c r="H174" i="1"/>
  <c r="G173" i="1"/>
  <c r="H173" i="1"/>
  <c r="I173" i="1"/>
  <c r="I172" i="1"/>
  <c r="G172" i="1"/>
  <c r="H172" i="1"/>
  <c r="I171" i="1"/>
  <c r="H171" i="1"/>
  <c r="G171" i="1"/>
  <c r="H170" i="1"/>
  <c r="I170" i="1"/>
  <c r="G170" i="1"/>
  <c r="I169" i="1"/>
  <c r="H169" i="1"/>
  <c r="G169" i="1"/>
  <c r="G168" i="1"/>
  <c r="I168" i="1"/>
  <c r="H168" i="1"/>
  <c r="H167" i="1"/>
  <c r="I167" i="1"/>
  <c r="G167" i="1"/>
  <c r="H166" i="1"/>
  <c r="G166" i="1"/>
  <c r="I166" i="1"/>
  <c r="I165" i="1"/>
  <c r="H165" i="1"/>
  <c r="G165" i="1"/>
  <c r="H164" i="1"/>
  <c r="G164" i="1"/>
  <c r="I164" i="1"/>
  <c r="I163" i="1"/>
  <c r="G163" i="1"/>
  <c r="H163" i="1"/>
  <c r="G162" i="1"/>
  <c r="I162" i="1"/>
  <c r="H162" i="1"/>
  <c r="I161" i="1"/>
  <c r="H161" i="1"/>
  <c r="G161" i="1"/>
  <c r="H160" i="1"/>
  <c r="G160" i="1"/>
  <c r="I160" i="1"/>
  <c r="G159" i="1"/>
  <c r="H159" i="1"/>
  <c r="I159" i="1"/>
  <c r="H158" i="1"/>
  <c r="I158" i="1"/>
  <c r="G158" i="1"/>
  <c r="I157" i="1"/>
  <c r="G157" i="1"/>
  <c r="H157" i="1"/>
  <c r="H156" i="1"/>
  <c r="G156" i="1"/>
  <c r="I156" i="1"/>
  <c r="H155" i="1"/>
  <c r="G155" i="1"/>
  <c r="I155" i="1"/>
  <c r="H154" i="1"/>
  <c r="G154" i="1"/>
  <c r="I154" i="1"/>
  <c r="I153" i="1"/>
  <c r="H153" i="1"/>
  <c r="G153" i="1"/>
  <c r="G152" i="1"/>
  <c r="I152" i="1"/>
  <c r="H152" i="1"/>
  <c r="G151" i="1"/>
  <c r="H151" i="1"/>
  <c r="I151" i="1"/>
  <c r="G149" i="1"/>
  <c r="I149" i="1"/>
  <c r="H149" i="1"/>
  <c r="G148" i="1"/>
  <c r="H148" i="1"/>
  <c r="I148" i="1"/>
  <c r="I147" i="1"/>
  <c r="G147" i="1"/>
  <c r="H147" i="1"/>
  <c r="I146" i="1"/>
  <c r="G146" i="1"/>
  <c r="H146" i="1"/>
  <c r="H145" i="1"/>
  <c r="I145" i="1"/>
  <c r="G145" i="1"/>
  <c r="H144" i="1"/>
  <c r="G144" i="1"/>
  <c r="I144" i="1"/>
  <c r="H143" i="1"/>
  <c r="I143" i="1"/>
  <c r="G143" i="1"/>
  <c r="G142" i="1"/>
  <c r="I142" i="1"/>
  <c r="H142" i="1"/>
  <c r="G141" i="1"/>
  <c r="I141" i="1"/>
  <c r="H141" i="1"/>
  <c r="I139" i="1"/>
  <c r="H139" i="1"/>
  <c r="G139" i="1"/>
  <c r="G138" i="1"/>
  <c r="I138" i="1"/>
  <c r="H138" i="1"/>
  <c r="H137" i="1"/>
  <c r="I137" i="1"/>
  <c r="G137" i="1"/>
  <c r="H136" i="1"/>
  <c r="I136" i="1"/>
  <c r="G136" i="1"/>
  <c r="I135" i="1"/>
  <c r="H135" i="1"/>
  <c r="G135" i="1"/>
  <c r="I134" i="1"/>
  <c r="H134" i="1"/>
  <c r="G134" i="1"/>
  <c r="G133" i="1"/>
  <c r="H133" i="1"/>
  <c r="I133" i="1"/>
  <c r="G132" i="1"/>
  <c r="H132" i="1"/>
  <c r="I132" i="1"/>
  <c r="G131" i="1"/>
  <c r="H131" i="1"/>
  <c r="I131" i="1"/>
  <c r="G130" i="1"/>
  <c r="H130" i="1"/>
  <c r="I130" i="1"/>
  <c r="H129" i="1"/>
  <c r="G129" i="1"/>
  <c r="I129" i="1"/>
  <c r="G128" i="1"/>
  <c r="H128" i="1"/>
  <c r="I128" i="1"/>
  <c r="I127" i="1"/>
  <c r="H127" i="1"/>
  <c r="G127" i="1"/>
  <c r="H125" i="1"/>
  <c r="G125" i="1"/>
  <c r="I125" i="1"/>
  <c r="I124" i="1"/>
  <c r="G124" i="1"/>
  <c r="H124" i="1"/>
  <c r="I123" i="1"/>
  <c r="H123" i="1"/>
  <c r="G123" i="1"/>
  <c r="I122" i="1"/>
  <c r="H122" i="1"/>
  <c r="G122" i="1"/>
  <c r="I121" i="1"/>
  <c r="H121" i="1"/>
  <c r="G121" i="1"/>
  <c r="I120" i="1"/>
  <c r="H120" i="1"/>
  <c r="G120" i="1"/>
  <c r="G119" i="1"/>
  <c r="H119" i="1"/>
  <c r="I119" i="1"/>
  <c r="H118" i="1"/>
  <c r="G118" i="1"/>
  <c r="I118" i="1"/>
  <c r="H117" i="1"/>
  <c r="I117" i="1"/>
  <c r="G117" i="1"/>
  <c r="I116" i="1"/>
  <c r="H116" i="1"/>
  <c r="G116" i="1"/>
  <c r="H115" i="1"/>
  <c r="I115" i="1"/>
  <c r="G115" i="1"/>
  <c r="G114" i="1"/>
  <c r="I114" i="1"/>
  <c r="H114" i="1"/>
  <c r="H113" i="1"/>
  <c r="I113" i="1"/>
  <c r="G113" i="1"/>
  <c r="H112" i="1"/>
  <c r="I112" i="1"/>
  <c r="G112" i="1"/>
  <c r="I111" i="1"/>
  <c r="H111" i="1"/>
  <c r="G111" i="1"/>
  <c r="G110" i="1"/>
  <c r="I110" i="1"/>
  <c r="H110" i="1"/>
  <c r="I109" i="1"/>
  <c r="H109" i="1"/>
  <c r="G109" i="1"/>
  <c r="H108" i="1"/>
  <c r="I108" i="1"/>
  <c r="G108" i="1"/>
  <c r="I107" i="1"/>
  <c r="H107" i="1"/>
  <c r="G107" i="1"/>
  <c r="H106" i="1"/>
  <c r="I106" i="1"/>
  <c r="G106" i="1"/>
  <c r="I105" i="1"/>
  <c r="H105" i="1"/>
  <c r="G105" i="1"/>
  <c r="I104" i="1"/>
  <c r="H104" i="1"/>
  <c r="G104" i="1"/>
  <c r="I103" i="1"/>
  <c r="H103" i="1"/>
  <c r="G103" i="1"/>
  <c r="I102" i="1"/>
  <c r="H102" i="1"/>
  <c r="G102" i="1"/>
  <c r="G100" i="1"/>
  <c r="H100" i="1"/>
  <c r="I100" i="1"/>
  <c r="G99" i="1"/>
  <c r="H99" i="1"/>
  <c r="I99" i="1"/>
  <c r="G98" i="1"/>
  <c r="H98" i="1"/>
  <c r="I98" i="1"/>
  <c r="G97" i="1"/>
  <c r="H97" i="1"/>
  <c r="I97" i="1"/>
  <c r="G96" i="1"/>
  <c r="H96" i="1"/>
  <c r="I96" i="1"/>
  <c r="G95" i="1"/>
  <c r="H95" i="1"/>
  <c r="I95" i="1"/>
  <c r="G94" i="1"/>
  <c r="H94" i="1"/>
  <c r="I94" i="1"/>
  <c r="G93" i="1"/>
  <c r="H93" i="1"/>
  <c r="I93" i="1"/>
  <c r="G92" i="1"/>
  <c r="H92" i="1"/>
  <c r="I92" i="1"/>
  <c r="G91" i="1"/>
  <c r="H91" i="1"/>
  <c r="I91" i="1"/>
  <c r="G90" i="1"/>
  <c r="H90" i="1"/>
  <c r="I90" i="1"/>
  <c r="G89" i="1"/>
  <c r="H89" i="1"/>
  <c r="I89" i="1"/>
  <c r="G88" i="1"/>
  <c r="H88" i="1"/>
  <c r="I88" i="1"/>
  <c r="G87" i="1"/>
  <c r="H87" i="1"/>
  <c r="I87" i="1"/>
  <c r="G86" i="1"/>
  <c r="H86" i="1"/>
  <c r="I86" i="1"/>
  <c r="G85" i="1"/>
  <c r="H85" i="1"/>
  <c r="I85" i="1"/>
  <c r="G84" i="1"/>
  <c r="H84" i="1"/>
  <c r="I84" i="1"/>
  <c r="G83" i="1"/>
  <c r="H83" i="1"/>
  <c r="I83" i="1"/>
  <c r="G81" i="1"/>
  <c r="H81" i="1"/>
  <c r="I81" i="1"/>
  <c r="G80" i="1"/>
  <c r="H80" i="1"/>
  <c r="I80" i="1"/>
  <c r="G79" i="1"/>
  <c r="H79" i="1"/>
  <c r="I79" i="1"/>
  <c r="G78" i="1"/>
  <c r="H78" i="1"/>
  <c r="I78" i="1"/>
  <c r="G77" i="1"/>
  <c r="H77" i="1"/>
  <c r="I77" i="1"/>
  <c r="G76" i="1"/>
  <c r="H76" i="1"/>
  <c r="I76" i="1"/>
  <c r="G75" i="1"/>
  <c r="H75" i="1"/>
  <c r="I75" i="1"/>
  <c r="G74" i="1"/>
  <c r="H74" i="1"/>
  <c r="I74" i="1"/>
  <c r="G73" i="1"/>
  <c r="H73" i="1"/>
  <c r="I73" i="1"/>
  <c r="G72" i="1"/>
  <c r="H72" i="1"/>
  <c r="I72" i="1"/>
  <c r="G71" i="1"/>
  <c r="H71" i="1"/>
  <c r="I71" i="1"/>
  <c r="G70" i="1"/>
  <c r="H70" i="1"/>
  <c r="I70" i="1"/>
  <c r="G69" i="1"/>
  <c r="H69" i="1"/>
  <c r="I69" i="1"/>
  <c r="G68" i="1"/>
  <c r="H68" i="1"/>
  <c r="I68" i="1"/>
  <c r="G67" i="1"/>
  <c r="H67" i="1"/>
  <c r="I67" i="1"/>
  <c r="G66" i="1"/>
  <c r="H66" i="1"/>
  <c r="I66" i="1"/>
  <c r="G65" i="1"/>
  <c r="H65" i="1"/>
  <c r="I65" i="1"/>
  <c r="G64" i="1"/>
  <c r="H64" i="1"/>
  <c r="I64" i="1"/>
  <c r="G63" i="1"/>
  <c r="H63" i="1"/>
  <c r="I63" i="1"/>
  <c r="G62" i="1"/>
  <c r="H62" i="1"/>
  <c r="I62" i="1"/>
  <c r="G61" i="1"/>
  <c r="H61" i="1"/>
  <c r="I61" i="1"/>
  <c r="G60" i="1"/>
  <c r="H60" i="1"/>
  <c r="I60" i="1"/>
  <c r="G59" i="1"/>
  <c r="H59" i="1"/>
  <c r="I59" i="1"/>
  <c r="G58" i="1"/>
  <c r="H58" i="1"/>
  <c r="I58" i="1"/>
  <c r="G57" i="1"/>
  <c r="H57" i="1"/>
  <c r="I57" i="1"/>
  <c r="G56" i="1"/>
  <c r="H56" i="1"/>
  <c r="I56" i="1"/>
  <c r="G55" i="1"/>
  <c r="H55" i="1"/>
  <c r="I55" i="1"/>
  <c r="G54" i="1"/>
  <c r="H54" i="1"/>
  <c r="I54" i="1"/>
  <c r="G53" i="1"/>
  <c r="H53" i="1"/>
  <c r="I53" i="1"/>
  <c r="H52" i="1"/>
  <c r="G52" i="1"/>
  <c r="I52" i="1"/>
  <c r="G50" i="1"/>
  <c r="H50" i="1"/>
  <c r="I50" i="1"/>
  <c r="G49" i="1"/>
  <c r="H49" i="1"/>
  <c r="I49" i="1"/>
  <c r="G48" i="1"/>
  <c r="H48" i="1"/>
  <c r="I48" i="1"/>
  <c r="G47" i="1"/>
  <c r="H47" i="1"/>
  <c r="I47" i="1"/>
  <c r="G46" i="1"/>
  <c r="H46" i="1"/>
  <c r="I46" i="1"/>
  <c r="G45" i="1"/>
  <c r="H45" i="1"/>
  <c r="I45" i="1"/>
  <c r="G44" i="1"/>
  <c r="H44" i="1"/>
  <c r="I44" i="1"/>
  <c r="G43" i="1"/>
  <c r="H43" i="1"/>
  <c r="I43" i="1"/>
  <c r="G42" i="1"/>
  <c r="H42" i="1"/>
  <c r="I42" i="1"/>
  <c r="G41" i="1"/>
  <c r="H41" i="1"/>
  <c r="I41" i="1"/>
  <c r="G40" i="1"/>
  <c r="H40" i="1"/>
  <c r="I40" i="1"/>
  <c r="G39" i="1"/>
  <c r="H39" i="1"/>
  <c r="I39" i="1"/>
  <c r="G38" i="1"/>
  <c r="H38" i="1"/>
  <c r="I38" i="1"/>
  <c r="G37" i="1"/>
  <c r="H37" i="1"/>
  <c r="I37" i="1"/>
  <c r="G36" i="1"/>
  <c r="H36" i="1"/>
  <c r="I36" i="1"/>
  <c r="G35" i="1"/>
  <c r="H35" i="1"/>
  <c r="I35" i="1"/>
  <c r="G34" i="1"/>
  <c r="H34" i="1"/>
  <c r="I34" i="1"/>
  <c r="G33" i="1"/>
  <c r="H33" i="1"/>
  <c r="I33" i="1"/>
  <c r="G32" i="1"/>
  <c r="H32" i="1"/>
  <c r="I32" i="1"/>
  <c r="G31" i="1"/>
  <c r="H31" i="1"/>
  <c r="I31" i="1"/>
  <c r="G30" i="1"/>
  <c r="H30" i="1"/>
  <c r="I30" i="1"/>
  <c r="G29" i="1"/>
  <c r="H29" i="1"/>
  <c r="I29" i="1"/>
  <c r="G28" i="1"/>
  <c r="H28" i="1"/>
  <c r="I28" i="1"/>
  <c r="G27" i="1"/>
  <c r="H27" i="1"/>
  <c r="I27" i="1"/>
  <c r="G25" i="1"/>
  <c r="H25" i="1"/>
  <c r="I25" i="1"/>
  <c r="G24" i="1"/>
  <c r="H24" i="1"/>
  <c r="I24" i="1"/>
  <c r="G23" i="1"/>
  <c r="H23" i="1"/>
  <c r="I23" i="1"/>
  <c r="G22" i="1"/>
  <c r="H22" i="1"/>
  <c r="I22" i="1"/>
  <c r="G21" i="1"/>
  <c r="H21" i="1"/>
  <c r="I21" i="1"/>
  <c r="G20" i="1"/>
  <c r="H20" i="1"/>
  <c r="I20" i="1"/>
  <c r="G19" i="1"/>
  <c r="H19" i="1"/>
  <c r="I19" i="1"/>
  <c r="G18" i="1"/>
  <c r="H18" i="1"/>
  <c r="I18" i="1"/>
  <c r="G17" i="1"/>
  <c r="H17" i="1"/>
  <c r="I17" i="1"/>
  <c r="G16" i="1"/>
  <c r="H16" i="1"/>
  <c r="I16" i="1"/>
  <c r="G15" i="1"/>
  <c r="H15" i="1"/>
  <c r="I15" i="1"/>
  <c r="G14" i="1"/>
  <c r="H14" i="1"/>
  <c r="I14" i="1"/>
  <c r="G13" i="1"/>
  <c r="H13" i="1"/>
  <c r="I13" i="1"/>
  <c r="G12" i="1"/>
  <c r="H12" i="1"/>
  <c r="I12" i="1"/>
  <c r="G11" i="1"/>
  <c r="H11" i="1"/>
  <c r="I11" i="1"/>
  <c r="G10" i="1"/>
  <c r="H10" i="1"/>
  <c r="I10" i="1"/>
  <c r="G9" i="1"/>
  <c r="H9" i="1"/>
  <c r="I9" i="1"/>
  <c r="G8" i="1"/>
  <c r="H8" i="1"/>
  <c r="I8" i="1"/>
  <c r="G7" i="1"/>
  <c r="H7" i="1"/>
  <c r="I7" i="1"/>
  <c r="G6" i="1"/>
  <c r="H6" i="1"/>
  <c r="I6" i="1"/>
  <c r="G5" i="1"/>
  <c r="H5" i="1"/>
  <c r="I5" i="1"/>
  <c r="H4" i="1"/>
  <c r="I4" i="1"/>
  <c r="G4" i="1"/>
  <c r="G3" i="1"/>
  <c r="H3" i="1"/>
  <c r="I3" i="1"/>
  <c r="I2" i="1"/>
  <c r="E5" i="4"/>
  <c r="E6" i="4"/>
  <c r="G2" i="1"/>
  <c r="H2" i="1"/>
  <c r="E3" i="4"/>
  <c r="E4" i="4"/>
  <c r="I3" i="4" l="1"/>
  <c r="E7" i="4"/>
  <c r="I5" i="4"/>
  <c r="I4" i="4"/>
  <c r="H7" i="4"/>
  <c r="I6" i="4"/>
  <c r="I7" i="4" l="1"/>
</calcChain>
</file>

<file path=xl/sharedStrings.xml><?xml version="1.0" encoding="utf-8"?>
<sst xmlns="http://schemas.openxmlformats.org/spreadsheetml/2006/main" count="763" uniqueCount="183">
  <si>
    <t>Cultivar/Experiment/condition</t>
  </si>
  <si>
    <t>Sample</t>
  </si>
  <si>
    <t>Mass (g)</t>
  </si>
  <si>
    <t>Acrylamide in vial (ppb)</t>
  </si>
  <si>
    <t>Acrylamide in sample (µg/kg)</t>
  </si>
  <si>
    <t>Acrylamide band</t>
  </si>
  <si>
    <t>Expected chip colour</t>
  </si>
  <si>
    <t>Not like this</t>
  </si>
  <si>
    <t>Image file name</t>
  </si>
  <si>
    <t xml:space="preserve"> Lady Claire 
Sulphur treated </t>
  </si>
  <si>
    <t>1</t>
  </si>
  <si>
    <t>2</t>
  </si>
  <si>
    <t>3</t>
  </si>
  <si>
    <t>4</t>
  </si>
  <si>
    <t>5</t>
  </si>
  <si>
    <t>6</t>
  </si>
  <si>
    <t>7</t>
  </si>
  <si>
    <t>8</t>
  </si>
  <si>
    <t>9</t>
  </si>
  <si>
    <t>10</t>
  </si>
  <si>
    <t>11</t>
  </si>
  <si>
    <t>12</t>
  </si>
  <si>
    <t>13</t>
  </si>
  <si>
    <t>14</t>
  </si>
  <si>
    <t>15</t>
  </si>
  <si>
    <t>16</t>
  </si>
  <si>
    <t>17</t>
  </si>
  <si>
    <t>18</t>
  </si>
  <si>
    <t>19</t>
  </si>
  <si>
    <t>20</t>
  </si>
  <si>
    <t>21</t>
  </si>
  <si>
    <t>22</t>
  </si>
  <si>
    <t>23</t>
  </si>
  <si>
    <t>24</t>
  </si>
  <si>
    <t>Lady Claire
Sulphur controls</t>
  </si>
  <si>
    <t>Taurus
Sulphur treated</t>
  </si>
  <si>
    <t>25</t>
  </si>
  <si>
    <t>26</t>
  </si>
  <si>
    <t>27</t>
  </si>
  <si>
    <t>28</t>
  </si>
  <si>
    <t>29</t>
  </si>
  <si>
    <t>30</t>
  </si>
  <si>
    <t>Taurus
Sulphur controls</t>
  </si>
  <si>
    <t>1st trial 
Lady Claire
Basalt rock aggregates treated</t>
  </si>
  <si>
    <t>1st trial 
Lady Claire
Basalt rock aggregates controls</t>
  </si>
  <si>
    <t>1st trial 
Taurus
Basalt rock aggregates treated</t>
  </si>
  <si>
    <t>1st trial 
Taurus
Basalt rock aggregates controls</t>
  </si>
  <si>
    <t>2nd trial 
Lady Claire
Basalt rock aggregates treated</t>
  </si>
  <si>
    <t>2nd trial 
Lady Claire
Basalt rock aggregates controls</t>
  </si>
  <si>
    <t>2nd trial 
Taurus
Basalt rock aggregates treated</t>
  </si>
  <si>
    <t>2nd trial 
Taurus
Basalt rock aggregates controls</t>
  </si>
  <si>
    <t>Lady Claire
Speed breeding LED lights control</t>
  </si>
  <si>
    <t>Lady Claire 
Speed breeding LED lights treated</t>
  </si>
  <si>
    <t>Taurus
Speed breeding LED lights control</t>
  </si>
  <si>
    <t>Taurus
Speed breeding LED lights treated</t>
  </si>
  <si>
    <t>Desiree
Speed breeding LED lights control</t>
  </si>
  <si>
    <t>Desiree
Speed breeding LED lights treated</t>
  </si>
  <si>
    <t>1st trial</t>
  </si>
  <si>
    <t>Days after treatment</t>
  </si>
  <si>
    <t>Cultivar/Condition</t>
  </si>
  <si>
    <t>Colour parameters</t>
  </si>
  <si>
    <t>L</t>
  </si>
  <si>
    <t>a</t>
  </si>
  <si>
    <t>b</t>
  </si>
  <si>
    <t>2nd trial</t>
  </si>
  <si>
    <t>Acrylamide band (1st trial)</t>
  </si>
  <si>
    <t>Acrylamide band (2nd trial)</t>
  </si>
  <si>
    <t>Colour category (1st trial, from a*)</t>
  </si>
  <si>
    <t>Colour category (2nd trial, from a*)</t>
  </si>
  <si>
    <t>Expected chip colour (1st trial)</t>
  </si>
  <si>
    <t>Not like this (1st trial)</t>
  </si>
  <si>
    <t>Expected chip colour (2nd trial)</t>
  </si>
  <si>
    <t>Not like this (2nd trial)</t>
  </si>
  <si>
    <t>Image file name (1st trial)</t>
  </si>
  <si>
    <t>Image file name (2nd trial)</t>
  </si>
  <si>
    <t>T=0</t>
  </si>
  <si>
    <t>Lady Claire
Mint essential oil controls</t>
  </si>
  <si>
    <t>T=1</t>
  </si>
  <si>
    <t>Lady Claire
Mint essential oil treated</t>
  </si>
  <si>
    <t>Lady Claire
Mint essential oil 1 treatment</t>
  </si>
  <si>
    <t>Lady Claire
Mint essential oil 2 treatments</t>
  </si>
  <si>
    <t>T=7</t>
  </si>
  <si>
    <t>Taurus
Mint essential oil controls</t>
  </si>
  <si>
    <t>Taurus
Mint essential oil 1 treatment</t>
  </si>
  <si>
    <t>T=14</t>
  </si>
  <si>
    <t>Taurus
Mint essential oil 2 treatments</t>
  </si>
  <si>
    <t>T=28</t>
  </si>
  <si>
    <t>T=56</t>
  </si>
  <si>
    <t>Taurus
Mint essential oil treated</t>
  </si>
  <si>
    <t>Experiment</t>
  </si>
  <si>
    <t>Condition</t>
  </si>
  <si>
    <t>Pilot plant 1st additives trial</t>
  </si>
  <si>
    <t>Controls</t>
  </si>
  <si>
    <t>CaCl2 
0.01 M
 + 
citric acid 
0.05 M</t>
  </si>
  <si>
    <t>Pilot plant 2nd additives trial</t>
  </si>
  <si>
    <t>citric acid 
0.05 M</t>
  </si>
  <si>
    <t>CaCl2 
0.01 M</t>
  </si>
  <si>
    <t>CaCl2 0.01 M
 + citric acid 0.05 M</t>
  </si>
  <si>
    <t>Pilot plant 3rd additives trial</t>
  </si>
  <si>
    <t>Ultrasound 1st trial</t>
  </si>
  <si>
    <t>450 W 100%</t>
  </si>
  <si>
    <t>450 W 50%</t>
  </si>
  <si>
    <t>1500 W 100% 15 minutes</t>
  </si>
  <si>
    <t xml:space="preserve">1500 W 100% </t>
  </si>
  <si>
    <t xml:space="preserve">1500 W 50% </t>
  </si>
  <si>
    <t>Ultrasound 2nd trial
450 W 100%
 KP fresh potatoes</t>
  </si>
  <si>
    <t>Controls cold wash + hot wash</t>
  </si>
  <si>
    <t>Ultrasound treatment</t>
  </si>
  <si>
    <t>Ultrasound treatment + 2nd cold wash</t>
  </si>
  <si>
    <t>Ultrasound treatment + 2nd hot wash</t>
  </si>
  <si>
    <t>Ultrasound 2nd trial
450 W 100%
 JHI stored potatoes</t>
  </si>
  <si>
    <t>Acrylamide band definitions (µg/kg in fried potato crisps)</t>
  </si>
  <si>
    <t>Band</t>
  </si>
  <si>
    <t>Lower bound (µg/kg, inclusive)</t>
  </si>
  <si>
    <t>Upper bound (µg/kg, exclusive)</t>
  </si>
  <si>
    <t>Expected chip colour (illustrative only)</t>
  </si>
  <si>
    <t>Count: Chapter 3</t>
  </si>
  <si>
    <t>Count: Chapter 4 (1st trial)</t>
  </si>
  <si>
    <t>Count: Chapter 4 (2nd trial)</t>
  </si>
  <si>
    <t>Count: Chapter 5</t>
  </si>
  <si>
    <t>Total</t>
  </si>
  <si>
    <t>Low</t>
  </si>
  <si>
    <t>Pale yellow to light golden, even colour, no brown spots</t>
  </si>
  <si>
    <t>Not deep golden-brown or reddish-brown (those match higher values). Avoid black or burnt chips.</t>
  </si>
  <si>
    <t>Medium</t>
  </si>
  <si>
    <t>Golden yellow with light brown at some edges or small spots</t>
  </si>
  <si>
    <t>Not pale yellow (matches a low value) and not deep reddish-brown (matches a high value). Avoid black or burnt chips.</t>
  </si>
  <si>
    <t>High</t>
  </si>
  <si>
    <t>Golden-brown with a reddish tint, brown edges, somewhat uneven</t>
  </si>
  <si>
    <t>Not pale yellow, which would match a low value. Not black or burnt, since very dark chips can have lower acrylamide.</t>
  </si>
  <si>
    <t>Very high</t>
  </si>
  <si>
    <t>no upper limit</t>
  </si>
  <si>
    <t>Deep golden-brown to medium brown with a reddish tone; edges darkest, centre golden or light brown</t>
  </si>
  <si>
    <t>Not pale yellow, which would match a low value, or black and burnt, since very dark chips can have lower acrylamide.</t>
  </si>
  <si>
    <t>Notes</t>
  </si>
  <si>
    <t>Blue cells (500, 1000, 2000) are the band cut-offs; edit them and every sheet updates.</t>
  </si>
  <si>
    <t>Cut-offs are my own choice based on the spread of this dataset (median about 600 µg/kg), not a regulatory or published scale.</t>
  </si>
  <si>
    <t>The colour descriptions are general expectations. Acrylamide depends on cultivar, sugars and frying time/temperature, so colour is only a rough guide.</t>
  </si>
  <si>
    <t>Chapter 4 has measured L, a, b colour values for some samples, which are a better link to chip images than the bands alone.</t>
  </si>
  <si>
    <t>Chapter 4 colour categories (from a* value; higher a* = redder/browner chip)</t>
  </si>
  <si>
    <t>Category</t>
  </si>
  <si>
    <t>Lower a* bound (inclusive)</t>
  </si>
  <si>
    <t>Upper a* bound (exclusive)</t>
  </si>
  <si>
    <t>Samples with colour data</t>
  </si>
  <si>
    <t>Mean acrylamide (µg/kg)</t>
  </si>
  <si>
    <t>Light</t>
  </si>
  <si>
    <t>Dark</t>
  </si>
  <si>
    <t>The a* cut-offs (3 and 5) are my own choice from the spread of the data, not a published scale. Edit the blue cells to change them.</t>
  </si>
  <si>
    <t>Only Chapter 4 rows with a measured a* value get a category. Mean acrylamide is for those rows only.</t>
  </si>
  <si>
    <t>Image guide: what a chip photo should look like for each acrylamide value</t>
  </si>
  <si>
    <t>Table 1. By acrylamide band (all chapters)</t>
  </si>
  <si>
    <t>Acrylamide (µg/kg)</t>
  </si>
  <si>
    <t>What the chip should look like</t>
  </si>
  <si>
    <t>Search words</t>
  </si>
  <si>
    <t>below 500</t>
  </si>
  <si>
    <t>Pale yellow to light golden, even colour, no brown spots (short frying or little browning)</t>
  </si>
  <si>
    <t>light golden potato chips; pale potato crisps</t>
  </si>
  <si>
    <t>500 to 1000</t>
  </si>
  <si>
    <t>golden potato chips; golden brown potato crisps</t>
  </si>
  <si>
    <t>1000 to 2000</t>
  </si>
  <si>
    <t>Golden-brown with a reddish tint, brown edges, somewhat uneven colour</t>
  </si>
  <si>
    <t>golden brown potato crisps; medium brown potato chips</t>
  </si>
  <si>
    <t>above 2000</t>
  </si>
  <si>
    <t>Deep golden-brown to brown with a reddish tone. Do NOT use black or burnt chips here</t>
  </si>
  <si>
    <t>deep golden brown potato chips; brown potato crisps</t>
  </si>
  <si>
    <t>Table 2. By colour category (Chapter 4 only, from measured a* values)</t>
  </si>
  <si>
    <t>Typical a* (middle of range)</t>
  </si>
  <si>
    <t>about 2.4 (range 2.1 to 2.8)</t>
  </si>
  <si>
    <t>Pale yellow, little red or brown tone</t>
  </si>
  <si>
    <t>about 3.5 (range 3.1 to 4.7)</t>
  </si>
  <si>
    <t>Golden to light brown</t>
  </si>
  <si>
    <t>about 7.5 (range 5.8 to 8.1)</t>
  </si>
  <si>
    <t>Clearly brown with a reddish tone (not burnt)</t>
  </si>
  <si>
    <t>Tips for choosing images</t>
  </si>
  <si>
    <t>- Use the same white or neutral background and similar lighting, so differences you see are real colour differences.</t>
  </si>
  <si>
    <t>- Choose single chips or small groups of whole chips, not crushed pieces or packaged product.</t>
  </si>
  <si>
    <t>- If possible, take all images from one source or paper, so cultivar differences do not confuse the comparison.</t>
  </si>
  <si>
    <t>- Pick two or three images per band and label them "representative of this colour range", not "measured at this value".</t>
  </si>
  <si>
    <t>Cautions</t>
  </si>
  <si>
    <t>- Lightness (L) in this dataset is fairly low for all chips (about 25 to 46) and overlaps between categories, so do not pick images by lightness alone. Redness and brown edges are the better cue.</t>
  </si>
  <si>
    <t>- Colour is only a rough guide. In the Gökmen paper acrylamide peaked at about 8 minutes of frying and then fell, so a very dark or burnt chip can have a LOW value. Do not use black or burnt chips to represent high values.</t>
  </si>
  <si>
    <t>- Band cut-offs and a* cut-offs are my own choices from the spread of this data, not a published scale. They can be edited on the Bands sheet.</t>
  </si>
  <si>
    <t>- The link between colour and acrylamide in this dataset (rank correlation about 0.85 between a* and acrylamide, 54 Chapter 4 samples) holds up to brown chips, not burnt ones.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</si>
</sst>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8" x14ac:knownFonts="1">
    <font>
      <sz val="11"/>
      <color theme="1"/>
      <name val="Calibri"/>
      <family val="2"/>
      <charset val="1"/>
    </font>
    <font>
      <sz val="8"/>
      <name val="Times New Roman"/>
      <family val="1"/>
      <charset val="1"/>
    </font>
    <font>
      <sz val="10"/>
      <color theme="1"/>
      <name val="Arial"/>
      <family val="2"/>
      <charset val="1"/>
    </font>
    <font>
      <sz val="10"/>
      <name val="Arial"/>
      <family val="2"/>
      <charset val="1"/>
    </font>
    <font>
      <sz val="10"/>
      <name val="Arial"/>
      <charset val="1"/>
    </font>
    <font>
      <b/>
      <sz val="12"/>
      <name val="Arial"/>
      <charset val="1"/>
    </font>
    <font>
      <b/>
      <sz val="10"/>
      <name val="Arial"/>
      <charset val="1"/>
    </font>
    <font>
      <sz val="10"/>
      <color rgb="FF0000FF"/>
      <name val="Arial"/>
      <charset val="1"/>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23">
    <xf numFmtId="0" fontId="0" fillId="0" borderId="0" xfId="0"/>
    <xf numFmtId="0" fontId="2" fillId="0" borderId="0" xfId="0" applyFont="1" applyAlignment="1">
      <alignment horizontal="center" vertical="center"/>
    </xf>
    <xf numFmtId="0" fontId="2" fillId="0" borderId="0" xfId="0" applyFont="1" applyAlignment="1">
      <alignment horizontal="center" vertical="center" wrapText="1"/>
    </xf>
    <xf numFmtId="0" fontId="2" fillId="0" borderId="0" xfId="0" applyFont="1"/>
    <xf numFmtId="0" fontId="2" fillId="0" borderId="0" xfId="0" applyFont="1" applyAlignment="1">
      <alignment horizontal="center"/>
    </xf>
    <xf numFmtId="0" fontId="2" fillId="0" borderId="0" xfId="0" applyFont="1" applyAlignment="1">
      <alignment vertical="center"/>
    </xf>
    <xf numFmtId="0" fontId="2" fillId="0" borderId="0" xfId="0" applyFont="1" applyAlignment="1">
      <alignment horizontal="center" vertical="center"/>
    </xf>
    <xf numFmtId="0" fontId="2" fillId="0" borderId="0" xfId="0" applyFont="1" applyAlignment="1">
      <alignment horizontal="center" vertical="center" wrapText="1"/>
    </xf>
    <xf numFmtId="49" fontId="3" fillId="0" borderId="0" xfId="0" applyNumberFormat="1" applyFont="1" applyAlignment="1">
      <alignment horizontal="center"/>
    </xf>
    <xf numFmtId="164" fontId="2" fillId="0" borderId="0" xfId="0" applyNumberFormat="1" applyFont="1"/>
    <xf numFmtId="164" fontId="3" fillId="0" borderId="0" xfId="0" applyNumberFormat="1" applyFont="1" applyAlignment="1">
      <alignment horizontal="right"/>
    </xf>
    <xf numFmtId="2" fontId="2" fillId="0" borderId="0" xfId="0" applyNumberFormat="1" applyFont="1"/>
    <xf numFmtId="0" fontId="4" fillId="0" borderId="0" xfId="0" applyFont="1"/>
    <xf numFmtId="0" fontId="2" fillId="0" borderId="0" xfId="0" applyFont="1" applyAlignment="1">
      <alignment vertical="center" wrapText="1"/>
    </xf>
    <xf numFmtId="165" fontId="2" fillId="0" borderId="0" xfId="0" applyNumberFormat="1" applyFont="1"/>
    <xf numFmtId="0" fontId="4" fillId="0" borderId="0" xfId="0" applyFont="1" applyAlignment="1">
      <alignment horizontal="center" vertical="center"/>
    </xf>
    <xf numFmtId="2" fontId="4" fillId="0" borderId="0" xfId="0" applyNumberFormat="1" applyFont="1"/>
    <xf numFmtId="0" fontId="5" fillId="0" borderId="0" xfId="0" applyFont="1"/>
    <xf numFmtId="0" fontId="6" fillId="0" borderId="0" xfId="0" applyFont="1" applyAlignment="1">
      <alignment vertical="top" wrapText="1"/>
    </xf>
    <xf numFmtId="0" fontId="7" fillId="0" borderId="0" xfId="0" applyFont="1"/>
    <xf numFmtId="0" fontId="6" fillId="0" borderId="0" xfId="0" applyFont="1"/>
    <xf numFmtId="3" fontId="4" fillId="0" borderId="0" xfId="0" applyNumberFormat="1" applyFont="1"/>
    <xf numFmtId="0" fontId="4" fillId="0" borderId="0" xfId="0" applyFont="1" applyAlignment="1">
      <alignment vertical="top" wrapText="1"/>
    </xf>
  </cellXfs>
  <cellStyles count="2">
    <cellStyle name="Normal" xfId="0" builtinId="0"/>
    <cellStyle name="Normal 2" xfId="1" xr:uid="{00000000-0005-0000-0000-000006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29"/>
  <sheetViews>
    <sheetView tabSelected="1" zoomScaleNormal="100" workbookViewId="0">
      <pane ySplit="1" topLeftCell="A152" activePane="bottomLeft" state="frozen"/>
      <selection pane="bottomLeft" activeCell="G5" sqref="G5"/>
    </sheetView>
  </sheetViews>
  <sheetFormatPr defaultColWidth="16" defaultRowHeight="13.2" x14ac:dyDescent="0.25"/>
  <cols>
    <col min="1" max="1" width="25.5546875" style="3" customWidth="1"/>
    <col min="2" max="2" width="9.109375" style="4" customWidth="1"/>
    <col min="3" max="3" width="8.33203125" style="3" customWidth="1"/>
    <col min="4" max="4" width="22.44140625" style="3" customWidth="1"/>
    <col min="5" max="5" width="27.44140625" style="3" customWidth="1"/>
    <col min="6" max="6" width="16" style="3"/>
    <col min="7" max="7" width="45.5546875" style="3" customWidth="1"/>
    <col min="8" max="16384" width="16" style="3"/>
  </cols>
  <sheetData>
    <row r="1" spans="1:9" s="5" customFormat="1" ht="18.75" customHeight="1" x14ac:dyDescent="0.3">
      <c r="A1" s="5" t="s">
        <v>0</v>
      </c>
      <c r="B1" s="6" t="s">
        <v>1</v>
      </c>
      <c r="C1" s="5" t="s">
        <v>2</v>
      </c>
      <c r="D1" s="5" t="s">
        <v>3</v>
      </c>
      <c r="E1" s="5" t="s">
        <v>4</v>
      </c>
      <c r="F1" s="5" t="s">
        <v>5</v>
      </c>
      <c r="G1" s="5" t="s">
        <v>6</v>
      </c>
      <c r="H1" s="5" t="s">
        <v>7</v>
      </c>
      <c r="I1" s="5" t="s">
        <v>8</v>
      </c>
    </row>
    <row r="2" spans="1:9" ht="12.75" customHeight="1" x14ac:dyDescent="0.25">
      <c r="A2" s="2" t="s">
        <v>9</v>
      </c>
      <c r="B2" s="8" t="s">
        <v>10</v>
      </c>
      <c r="C2" s="9">
        <v>1.0145999999999999</v>
      </c>
      <c r="D2" s="10">
        <v>27.045999999999999</v>
      </c>
      <c r="E2" s="11">
        <f t="shared" ref="E2:E25" si="0">D2*10/C2</f>
        <v>266.56810565740193</v>
      </c>
      <c r="F2" s="12" t="str">
        <f>IF(NOT(ISNUMBER(E2)),"",IF(E2&lt;Bands!$B$4,"Low",IF(E2&lt;Bands!$B$5,"Medium",IF(E2&lt;Bands!$B$6,"High","Very high"))))</f>
        <v>Low</v>
      </c>
      <c r="G2" s="12" t="str">
        <f>IF(F2="","",IFERROR(INDEX(Bands!$D$3:$D$6,MATCH(F2,Bands!$A$3:$A$6,0)),""))</f>
        <v>Pale yellow to light golden, even colour, no brown spots</v>
      </c>
      <c r="H2" s="12" t="str">
        <f>IF(F2="","",IFERROR(INDEX(Bands!$J$3:$J$6,MATCH(F2,Bands!$A$3:$A$6,0)),""))</f>
        <v>Not deep golden-brown or reddish-brown (those match higher values). Avoid black or burnt chips.</v>
      </c>
      <c r="I2" s="12" t="str">
        <f>IF(F2="","","Ch3_"&amp;TEXT(COUNT($E$2:E2),"000")&amp;"_"&amp;SUBSTITUTE(F2," ","-")&amp;"_"&amp;TEXT(E2,"0")&amp;".jpg")</f>
        <v>Ch3_001_Low_267.jpg</v>
      </c>
    </row>
    <row r="3" spans="1:9" ht="12.75" customHeight="1" x14ac:dyDescent="0.25">
      <c r="A3" s="2"/>
      <c r="B3" s="8" t="s">
        <v>11</v>
      </c>
      <c r="C3" s="9">
        <v>1.0498000000000001</v>
      </c>
      <c r="D3" s="10">
        <v>45.253999999999998</v>
      </c>
      <c r="E3" s="11">
        <f t="shared" si="0"/>
        <v>431.07258525433411</v>
      </c>
      <c r="F3" s="12" t="str">
        <f>IF(NOT(ISNUMBER(E3)),"",IF(E3&lt;Bands!$B$4,"Low",IF(E3&lt;Bands!$B$5,"Medium",IF(E3&lt;Bands!$B$6,"High","Very high"))))</f>
        <v>Low</v>
      </c>
      <c r="G3" s="12" t="str">
        <f>IF(F3="","",IFERROR(INDEX(Bands!$D$3:$D$6,MATCH(F3,Bands!$A$3:$A$6,0)),""))</f>
        <v>Pale yellow to light golden, even colour, no brown spots</v>
      </c>
      <c r="H3" s="12" t="str">
        <f>IF(F3="","",IFERROR(INDEX(Bands!$J$3:$J$6,MATCH(F3,Bands!$A$3:$A$6,0)),""))</f>
        <v>Not deep golden-brown or reddish-brown (those match higher values). Avoid black or burnt chips.</v>
      </c>
      <c r="I3" s="12" t="str">
        <f>IF(F3="","","Ch3_"&amp;TEXT(COUNT($E$2:E3),"000")&amp;"_"&amp;SUBSTITUTE(F3," ","-")&amp;"_"&amp;TEXT(E3,"0")&amp;".jpg")</f>
        <v>Ch3_002_Low_431.jpg</v>
      </c>
    </row>
    <row r="4" spans="1:9" ht="12.75" customHeight="1" x14ac:dyDescent="0.25">
      <c r="A4" s="2"/>
      <c r="B4" s="8" t="s">
        <v>12</v>
      </c>
      <c r="C4" s="9">
        <v>1.0058</v>
      </c>
      <c r="D4" s="10">
        <v>40.302</v>
      </c>
      <c r="E4" s="11">
        <f t="shared" si="0"/>
        <v>400.69596341220915</v>
      </c>
      <c r="F4" s="12" t="str">
        <f>IF(NOT(ISNUMBER(E4)),"",IF(E4&lt;Bands!$B$4,"Low",IF(E4&lt;Bands!$B$5,"Medium",IF(E4&lt;Bands!$B$6,"High","Very high"))))</f>
        <v>Low</v>
      </c>
      <c r="G4" s="12" t="str">
        <f>IF(F4="","",IFERROR(INDEX(Bands!$D$3:$D$6,MATCH(F4,Bands!$A$3:$A$6,0)),""))</f>
        <v>Pale yellow to light golden, even colour, no brown spots</v>
      </c>
      <c r="H4" s="12" t="str">
        <f>IF(F4="","",IFERROR(INDEX(Bands!$J$3:$J$6,MATCH(F4,Bands!$A$3:$A$6,0)),""))</f>
        <v>Not deep golden-brown or reddish-brown (those match higher values). Avoid black or burnt chips.</v>
      </c>
      <c r="I4" s="12" t="str">
        <f>IF(F4="","","Ch3_"&amp;TEXT(COUNT($E$2:E4),"000")&amp;"_"&amp;SUBSTITUTE(F4," ","-")&amp;"_"&amp;TEXT(E4,"0")&amp;".jpg")</f>
        <v>Ch3_003_Low_401.jpg</v>
      </c>
    </row>
    <row r="5" spans="1:9" ht="12.75" customHeight="1" x14ac:dyDescent="0.25">
      <c r="A5" s="2"/>
      <c r="B5" s="8" t="s">
        <v>13</v>
      </c>
      <c r="C5" s="9">
        <v>1.0215000000000001</v>
      </c>
      <c r="D5" s="10">
        <v>24.669</v>
      </c>
      <c r="E5" s="11">
        <f t="shared" si="0"/>
        <v>241.49779735682819</v>
      </c>
      <c r="F5" s="12" t="str">
        <f>IF(NOT(ISNUMBER(E5)),"",IF(E5&lt;Bands!$B$4,"Low",IF(E5&lt;Bands!$B$5,"Medium",IF(E5&lt;Bands!$B$6,"High","Very high"))))</f>
        <v>Low</v>
      </c>
      <c r="G5" s="12" t="str">
        <f>IF(F5="","",IFERROR(INDEX(Bands!$D$3:$D$6,MATCH(F5,Bands!$A$3:$A$6,0)),""))</f>
        <v>Pale yellow to light golden, even colour, no brown spots</v>
      </c>
      <c r="H5" s="12" t="str">
        <f>IF(F5="","",IFERROR(INDEX(Bands!$J$3:$J$6,MATCH(F5,Bands!$A$3:$A$6,0)),""))</f>
        <v>Not deep golden-brown or reddish-brown (those match higher values). Avoid black or burnt chips.</v>
      </c>
      <c r="I5" s="12" t="str">
        <f>IF(F5="","","Ch3_"&amp;TEXT(COUNT($E$2:E5),"000")&amp;"_"&amp;SUBSTITUTE(F5," ","-")&amp;"_"&amp;TEXT(E5,"0")&amp;".jpg")</f>
        <v>Ch3_004_Low_241.jpg</v>
      </c>
    </row>
    <row r="6" spans="1:9" ht="12.75" customHeight="1" x14ac:dyDescent="0.25">
      <c r="A6" s="2"/>
      <c r="B6" s="8" t="s">
        <v>14</v>
      </c>
      <c r="C6" s="9">
        <v>1.0016</v>
      </c>
      <c r="D6" s="10">
        <v>21.529</v>
      </c>
      <c r="E6" s="11">
        <f t="shared" si="0"/>
        <v>214.94608626198081</v>
      </c>
      <c r="F6" s="12" t="str">
        <f>IF(NOT(ISNUMBER(E6)),"",IF(E6&lt;Bands!$B$4,"Low",IF(E6&lt;Bands!$B$5,"Medium",IF(E6&lt;Bands!$B$6,"High","Very high"))))</f>
        <v>Low</v>
      </c>
      <c r="G6" s="12" t="str">
        <f>IF(F6="","",IFERROR(INDEX(Bands!$D$3:$D$6,MATCH(F6,Bands!$A$3:$A$6,0)),""))</f>
        <v>Pale yellow to light golden, even colour, no brown spots</v>
      </c>
      <c r="H6" s="12" t="str">
        <f>IF(F6="","",IFERROR(INDEX(Bands!$J$3:$J$6,MATCH(F6,Bands!$A$3:$A$6,0)),""))</f>
        <v>Not deep golden-brown or reddish-brown (those match higher values). Avoid black or burnt chips.</v>
      </c>
      <c r="I6" s="12" t="str">
        <f>IF(F6="","","Ch3_"&amp;TEXT(COUNT($E$2:E6),"000")&amp;"_"&amp;SUBSTITUTE(F6," ","-")&amp;"_"&amp;TEXT(E6,"0")&amp;".jpg")</f>
        <v>Ch3_005_Low_215.jpg</v>
      </c>
    </row>
    <row r="7" spans="1:9" ht="12.75" customHeight="1" x14ac:dyDescent="0.25">
      <c r="A7" s="2"/>
      <c r="B7" s="8" t="s">
        <v>15</v>
      </c>
      <c r="C7" s="9">
        <v>1.0076000000000001</v>
      </c>
      <c r="D7" s="10">
        <v>14.46</v>
      </c>
      <c r="E7" s="11">
        <f t="shared" si="0"/>
        <v>143.50932909884875</v>
      </c>
      <c r="F7" s="12" t="str">
        <f>IF(NOT(ISNUMBER(E7)),"",IF(E7&lt;Bands!$B$4,"Low",IF(E7&lt;Bands!$B$5,"Medium",IF(E7&lt;Bands!$B$6,"High","Very high"))))</f>
        <v>Low</v>
      </c>
      <c r="G7" s="12" t="str">
        <f>IF(F7="","",IFERROR(INDEX(Bands!$D$3:$D$6,MATCH(F7,Bands!$A$3:$A$6,0)),""))</f>
        <v>Pale yellow to light golden, even colour, no brown spots</v>
      </c>
      <c r="H7" s="12" t="str">
        <f>IF(F7="","",IFERROR(INDEX(Bands!$J$3:$J$6,MATCH(F7,Bands!$A$3:$A$6,0)),""))</f>
        <v>Not deep golden-brown or reddish-brown (those match higher values). Avoid black or burnt chips.</v>
      </c>
      <c r="I7" s="12" t="str">
        <f>IF(F7="","","Ch3_"&amp;TEXT(COUNT($E$2:E7),"000")&amp;"_"&amp;SUBSTITUTE(F7," ","-")&amp;"_"&amp;TEXT(E7,"0")&amp;".jpg")</f>
        <v>Ch3_006_Low_144.jpg</v>
      </c>
    </row>
    <row r="8" spans="1:9" ht="12.75" customHeight="1" x14ac:dyDescent="0.25">
      <c r="A8" s="2"/>
      <c r="B8" s="8" t="s">
        <v>16</v>
      </c>
      <c r="C8" s="9">
        <v>0.99670000000000003</v>
      </c>
      <c r="D8" s="10">
        <v>41.985999999999997</v>
      </c>
      <c r="E8" s="11">
        <f t="shared" si="0"/>
        <v>421.2501254138657</v>
      </c>
      <c r="F8" s="12" t="str">
        <f>IF(NOT(ISNUMBER(E8)),"",IF(E8&lt;Bands!$B$4,"Low",IF(E8&lt;Bands!$B$5,"Medium",IF(E8&lt;Bands!$B$6,"High","Very high"))))</f>
        <v>Low</v>
      </c>
      <c r="G8" s="12" t="str">
        <f>IF(F8="","",IFERROR(INDEX(Bands!$D$3:$D$6,MATCH(F8,Bands!$A$3:$A$6,0)),""))</f>
        <v>Pale yellow to light golden, even colour, no brown spots</v>
      </c>
      <c r="H8" s="12" t="str">
        <f>IF(F8="","",IFERROR(INDEX(Bands!$J$3:$J$6,MATCH(F8,Bands!$A$3:$A$6,0)),""))</f>
        <v>Not deep golden-brown or reddish-brown (those match higher values). Avoid black or burnt chips.</v>
      </c>
      <c r="I8" s="12" t="str">
        <f>IF(F8="","","Ch3_"&amp;TEXT(COUNT($E$2:E8),"000")&amp;"_"&amp;SUBSTITUTE(F8," ","-")&amp;"_"&amp;TEXT(E8,"0")&amp;".jpg")</f>
        <v>Ch3_007_Low_421.jpg</v>
      </c>
    </row>
    <row r="9" spans="1:9" ht="12.75" customHeight="1" x14ac:dyDescent="0.25">
      <c r="A9" s="2"/>
      <c r="B9" s="8" t="s">
        <v>17</v>
      </c>
      <c r="C9" s="9">
        <v>1.0427999999999999</v>
      </c>
      <c r="D9" s="10">
        <v>53.731999999999999</v>
      </c>
      <c r="E9" s="11">
        <f t="shared" si="0"/>
        <v>515.26658995013418</v>
      </c>
      <c r="F9" s="12" t="str">
        <f>IF(NOT(ISNUMBER(E9)),"",IF(E9&lt;Bands!$B$4,"Low",IF(E9&lt;Bands!$B$5,"Medium",IF(E9&lt;Bands!$B$6,"High","Very high"))))</f>
        <v>Medium</v>
      </c>
      <c r="G9" s="12" t="str">
        <f>IF(F9="","",IFERROR(INDEX(Bands!$D$3:$D$6,MATCH(F9,Bands!$A$3:$A$6,0)),""))</f>
        <v>Golden yellow with light brown at some edges or small spots</v>
      </c>
      <c r="H9" s="12" t="str">
        <f>IF(F9="","",IFERROR(INDEX(Bands!$J$3:$J$6,MATCH(F9,Bands!$A$3:$A$6,0)),""))</f>
        <v>Not pale yellow (matches a low value) and not deep reddish-brown (matches a high value). Avoid black or burnt chips.</v>
      </c>
      <c r="I9" s="12" t="str">
        <f>IF(F9="","","Ch3_"&amp;TEXT(COUNT($E$2:E9),"000")&amp;"_"&amp;SUBSTITUTE(F9," ","-")&amp;"_"&amp;TEXT(E9,"0")&amp;".jpg")</f>
        <v>Ch3_008_Medium_515.jpg</v>
      </c>
    </row>
    <row r="10" spans="1:9" ht="12.75" customHeight="1" x14ac:dyDescent="0.25">
      <c r="A10" s="2"/>
      <c r="B10" s="8" t="s">
        <v>18</v>
      </c>
      <c r="C10" s="9">
        <v>1.0068999999999999</v>
      </c>
      <c r="D10" s="10">
        <v>32.267000000000003</v>
      </c>
      <c r="E10" s="11">
        <f t="shared" si="0"/>
        <v>320.45883404508891</v>
      </c>
      <c r="F10" s="12" t="str">
        <f>IF(NOT(ISNUMBER(E10)),"",IF(E10&lt;Bands!$B$4,"Low",IF(E10&lt;Bands!$B$5,"Medium",IF(E10&lt;Bands!$B$6,"High","Very high"))))</f>
        <v>Low</v>
      </c>
      <c r="G10" s="12" t="str">
        <f>IF(F10="","",IFERROR(INDEX(Bands!$D$3:$D$6,MATCH(F10,Bands!$A$3:$A$6,0)),""))</f>
        <v>Pale yellow to light golden, even colour, no brown spots</v>
      </c>
      <c r="H10" s="12" t="str">
        <f>IF(F10="","",IFERROR(INDEX(Bands!$J$3:$J$6,MATCH(F10,Bands!$A$3:$A$6,0)),""))</f>
        <v>Not deep golden-brown or reddish-brown (those match higher values). Avoid black or burnt chips.</v>
      </c>
      <c r="I10" s="12" t="str">
        <f>IF(F10="","","Ch3_"&amp;TEXT(COUNT($E$2:E10),"000")&amp;"_"&amp;SUBSTITUTE(F10," ","-")&amp;"_"&amp;TEXT(E10,"0")&amp;".jpg")</f>
        <v>Ch3_009_Low_320.jpg</v>
      </c>
    </row>
    <row r="11" spans="1:9" ht="12.75" customHeight="1" x14ac:dyDescent="0.25">
      <c r="A11" s="2"/>
      <c r="B11" s="8" t="s">
        <v>19</v>
      </c>
      <c r="C11" s="9">
        <v>1.0256000000000001</v>
      </c>
      <c r="D11" s="10">
        <v>29.128</v>
      </c>
      <c r="E11" s="11">
        <f t="shared" si="0"/>
        <v>284.00936037441494</v>
      </c>
      <c r="F11" s="12" t="str">
        <f>IF(NOT(ISNUMBER(E11)),"",IF(E11&lt;Bands!$B$4,"Low",IF(E11&lt;Bands!$B$5,"Medium",IF(E11&lt;Bands!$B$6,"High","Very high"))))</f>
        <v>Low</v>
      </c>
      <c r="G11" s="12" t="str">
        <f>IF(F11="","",IFERROR(INDEX(Bands!$D$3:$D$6,MATCH(F11,Bands!$A$3:$A$6,0)),""))</f>
        <v>Pale yellow to light golden, even colour, no brown spots</v>
      </c>
      <c r="H11" s="12" t="str">
        <f>IF(F11="","",IFERROR(INDEX(Bands!$J$3:$J$6,MATCH(F11,Bands!$A$3:$A$6,0)),""))</f>
        <v>Not deep golden-brown or reddish-brown (those match higher values). Avoid black or burnt chips.</v>
      </c>
      <c r="I11" s="12" t="str">
        <f>IF(F11="","","Ch3_"&amp;TEXT(COUNT($E$2:E11),"000")&amp;"_"&amp;SUBSTITUTE(F11," ","-")&amp;"_"&amp;TEXT(E11,"0")&amp;".jpg")</f>
        <v>Ch3_010_Low_284.jpg</v>
      </c>
    </row>
    <row r="12" spans="1:9" ht="12.75" customHeight="1" x14ac:dyDescent="0.25">
      <c r="A12" s="2"/>
      <c r="B12" s="8" t="s">
        <v>20</v>
      </c>
      <c r="C12" s="9">
        <v>1.0241</v>
      </c>
      <c r="D12" s="10">
        <v>15.856999999999999</v>
      </c>
      <c r="E12" s="11">
        <f t="shared" si="0"/>
        <v>154.83839468801875</v>
      </c>
      <c r="F12" s="12" t="str">
        <f>IF(NOT(ISNUMBER(E12)),"",IF(E12&lt;Bands!$B$4,"Low",IF(E12&lt;Bands!$B$5,"Medium",IF(E12&lt;Bands!$B$6,"High","Very high"))))</f>
        <v>Low</v>
      </c>
      <c r="G12" s="12" t="str">
        <f>IF(F12="","",IFERROR(INDEX(Bands!$D$3:$D$6,MATCH(F12,Bands!$A$3:$A$6,0)),""))</f>
        <v>Pale yellow to light golden, even colour, no brown spots</v>
      </c>
      <c r="H12" s="12" t="str">
        <f>IF(F12="","",IFERROR(INDEX(Bands!$J$3:$J$6,MATCH(F12,Bands!$A$3:$A$6,0)),""))</f>
        <v>Not deep golden-brown or reddish-brown (those match higher values). Avoid black or burnt chips.</v>
      </c>
      <c r="I12" s="12" t="str">
        <f>IF(F12="","","Ch3_"&amp;TEXT(COUNT($E$2:E12),"000")&amp;"_"&amp;SUBSTITUTE(F12," ","-")&amp;"_"&amp;TEXT(E12,"0")&amp;".jpg")</f>
        <v>Ch3_011_Low_155.jpg</v>
      </c>
    </row>
    <row r="13" spans="1:9" ht="12.75" customHeight="1" x14ac:dyDescent="0.25">
      <c r="A13" s="2"/>
      <c r="B13" s="8" t="s">
        <v>21</v>
      </c>
      <c r="C13" s="9">
        <v>1.0144</v>
      </c>
      <c r="D13" s="10">
        <v>27.018000000000001</v>
      </c>
      <c r="E13" s="11">
        <f t="shared" si="0"/>
        <v>266.34463722397476</v>
      </c>
      <c r="F13" s="12" t="str">
        <f>IF(NOT(ISNUMBER(E13)),"",IF(E13&lt;Bands!$B$4,"Low",IF(E13&lt;Bands!$B$5,"Medium",IF(E13&lt;Bands!$B$6,"High","Very high"))))</f>
        <v>Low</v>
      </c>
      <c r="G13" s="12" t="str">
        <f>IF(F13="","",IFERROR(INDEX(Bands!$D$3:$D$6,MATCH(F13,Bands!$A$3:$A$6,0)),""))</f>
        <v>Pale yellow to light golden, even colour, no brown spots</v>
      </c>
      <c r="H13" s="12" t="str">
        <f>IF(F13="","",IFERROR(INDEX(Bands!$J$3:$J$6,MATCH(F13,Bands!$A$3:$A$6,0)),""))</f>
        <v>Not deep golden-brown or reddish-brown (those match higher values). Avoid black or burnt chips.</v>
      </c>
      <c r="I13" s="12" t="str">
        <f>IF(F13="","","Ch3_"&amp;TEXT(COUNT($E$2:E13),"000")&amp;"_"&amp;SUBSTITUTE(F13," ","-")&amp;"_"&amp;TEXT(E13,"0")&amp;".jpg")</f>
        <v>Ch3_012_Low_266.jpg</v>
      </c>
    </row>
    <row r="14" spans="1:9" ht="12.75" customHeight="1" x14ac:dyDescent="0.25">
      <c r="A14" s="2"/>
      <c r="B14" s="8" t="s">
        <v>22</v>
      </c>
      <c r="C14" s="9">
        <v>1.0528999999999999</v>
      </c>
      <c r="D14" s="10">
        <v>41.954000000000001</v>
      </c>
      <c r="E14" s="11">
        <f t="shared" si="0"/>
        <v>398.46139234495206</v>
      </c>
      <c r="F14" s="12" t="str">
        <f>IF(NOT(ISNUMBER(E14)),"",IF(E14&lt;Bands!$B$4,"Low",IF(E14&lt;Bands!$B$5,"Medium",IF(E14&lt;Bands!$B$6,"High","Very high"))))</f>
        <v>Low</v>
      </c>
      <c r="G14" s="12" t="str">
        <f>IF(F14="","",IFERROR(INDEX(Bands!$D$3:$D$6,MATCH(F14,Bands!$A$3:$A$6,0)),""))</f>
        <v>Pale yellow to light golden, even colour, no brown spots</v>
      </c>
      <c r="H14" s="12" t="str">
        <f>IF(F14="","",IFERROR(INDEX(Bands!$J$3:$J$6,MATCH(F14,Bands!$A$3:$A$6,0)),""))</f>
        <v>Not deep golden-brown or reddish-brown (those match higher values). Avoid black or burnt chips.</v>
      </c>
      <c r="I14" s="12" t="str">
        <f>IF(F14="","","Ch3_"&amp;TEXT(COUNT($E$2:E14),"000")&amp;"_"&amp;SUBSTITUTE(F14," ","-")&amp;"_"&amp;TEXT(E14,"0")&amp;".jpg")</f>
        <v>Ch3_013_Low_398.jpg</v>
      </c>
    </row>
    <row r="15" spans="1:9" ht="12.75" customHeight="1" x14ac:dyDescent="0.25">
      <c r="A15" s="2"/>
      <c r="B15" s="8" t="s">
        <v>23</v>
      </c>
      <c r="C15" s="9">
        <v>0.99419999999999997</v>
      </c>
      <c r="D15" s="10">
        <v>40.179000000000002</v>
      </c>
      <c r="E15" s="11">
        <f t="shared" si="0"/>
        <v>404.13397706698856</v>
      </c>
      <c r="F15" s="12" t="str">
        <f>IF(NOT(ISNUMBER(E15)),"",IF(E15&lt;Bands!$B$4,"Low",IF(E15&lt;Bands!$B$5,"Medium",IF(E15&lt;Bands!$B$6,"High","Very high"))))</f>
        <v>Low</v>
      </c>
      <c r="G15" s="12" t="str">
        <f>IF(F15="","",IFERROR(INDEX(Bands!$D$3:$D$6,MATCH(F15,Bands!$A$3:$A$6,0)),""))</f>
        <v>Pale yellow to light golden, even colour, no brown spots</v>
      </c>
      <c r="H15" s="12" t="str">
        <f>IF(F15="","",IFERROR(INDEX(Bands!$J$3:$J$6,MATCH(F15,Bands!$A$3:$A$6,0)),""))</f>
        <v>Not deep golden-brown or reddish-brown (those match higher values). Avoid black or burnt chips.</v>
      </c>
      <c r="I15" s="12" t="str">
        <f>IF(F15="","","Ch3_"&amp;TEXT(COUNT($E$2:E15),"000")&amp;"_"&amp;SUBSTITUTE(F15," ","-")&amp;"_"&amp;TEXT(E15,"0")&amp;".jpg")</f>
        <v>Ch3_014_Low_404.jpg</v>
      </c>
    </row>
    <row r="16" spans="1:9" ht="12.75" customHeight="1" x14ac:dyDescent="0.25">
      <c r="A16" s="2"/>
      <c r="B16" s="8" t="s">
        <v>24</v>
      </c>
      <c r="C16" s="9">
        <v>0.9879</v>
      </c>
      <c r="D16" s="10">
        <v>22.106999999999999</v>
      </c>
      <c r="E16" s="11">
        <f t="shared" si="0"/>
        <v>223.77771029456423</v>
      </c>
      <c r="F16" s="12" t="str">
        <f>IF(NOT(ISNUMBER(E16)),"",IF(E16&lt;Bands!$B$4,"Low",IF(E16&lt;Bands!$B$5,"Medium",IF(E16&lt;Bands!$B$6,"High","Very high"))))</f>
        <v>Low</v>
      </c>
      <c r="G16" s="12" t="str">
        <f>IF(F16="","",IFERROR(INDEX(Bands!$D$3:$D$6,MATCH(F16,Bands!$A$3:$A$6,0)),""))</f>
        <v>Pale yellow to light golden, even colour, no brown spots</v>
      </c>
      <c r="H16" s="12" t="str">
        <f>IF(F16="","",IFERROR(INDEX(Bands!$J$3:$J$6,MATCH(F16,Bands!$A$3:$A$6,0)),""))</f>
        <v>Not deep golden-brown or reddish-brown (those match higher values). Avoid black or burnt chips.</v>
      </c>
      <c r="I16" s="12" t="str">
        <f>IF(F16="","","Ch3_"&amp;TEXT(COUNT($E$2:E16),"000")&amp;"_"&amp;SUBSTITUTE(F16," ","-")&amp;"_"&amp;TEXT(E16,"0")&amp;".jpg")</f>
        <v>Ch3_015_Low_224.jpg</v>
      </c>
    </row>
    <row r="17" spans="1:9" ht="12.75" customHeight="1" x14ac:dyDescent="0.25">
      <c r="A17" s="2"/>
      <c r="B17" s="8" t="s">
        <v>25</v>
      </c>
      <c r="C17" s="9">
        <v>0.98150000000000004</v>
      </c>
      <c r="D17" s="10">
        <v>49.354999999999997</v>
      </c>
      <c r="E17" s="11">
        <f t="shared" si="0"/>
        <v>502.85277636271007</v>
      </c>
      <c r="F17" s="12" t="str">
        <f>IF(NOT(ISNUMBER(E17)),"",IF(E17&lt;Bands!$B$4,"Low",IF(E17&lt;Bands!$B$5,"Medium",IF(E17&lt;Bands!$B$6,"High","Very high"))))</f>
        <v>Medium</v>
      </c>
      <c r="G17" s="12" t="str">
        <f>IF(F17="","",IFERROR(INDEX(Bands!$D$3:$D$6,MATCH(F17,Bands!$A$3:$A$6,0)),""))</f>
        <v>Golden yellow with light brown at some edges or small spots</v>
      </c>
      <c r="H17" s="12" t="str">
        <f>IF(F17="","",IFERROR(INDEX(Bands!$J$3:$J$6,MATCH(F17,Bands!$A$3:$A$6,0)),""))</f>
        <v>Not pale yellow (matches a low value) and not deep reddish-brown (matches a high value). Avoid black or burnt chips.</v>
      </c>
      <c r="I17" s="12" t="str">
        <f>IF(F17="","","Ch3_"&amp;TEXT(COUNT($E$2:E17),"000")&amp;"_"&amp;SUBSTITUTE(F17," ","-")&amp;"_"&amp;TEXT(E17,"0")&amp;".jpg")</f>
        <v>Ch3_016_Medium_503.jpg</v>
      </c>
    </row>
    <row r="18" spans="1:9" ht="12.75" customHeight="1" x14ac:dyDescent="0.25">
      <c r="A18" s="2"/>
      <c r="B18" s="8" t="s">
        <v>26</v>
      </c>
      <c r="C18" s="9">
        <v>0.98729999999999996</v>
      </c>
      <c r="D18" s="10">
        <v>49.319000000000003</v>
      </c>
      <c r="E18" s="11">
        <f t="shared" si="0"/>
        <v>499.53408285222332</v>
      </c>
      <c r="F18" s="12" t="str">
        <f>IF(NOT(ISNUMBER(E18)),"",IF(E18&lt;Bands!$B$4,"Low",IF(E18&lt;Bands!$B$5,"Medium",IF(E18&lt;Bands!$B$6,"High","Very high"))))</f>
        <v>Low</v>
      </c>
      <c r="G18" s="12" t="str">
        <f>IF(F18="","",IFERROR(INDEX(Bands!$D$3:$D$6,MATCH(F18,Bands!$A$3:$A$6,0)),""))</f>
        <v>Pale yellow to light golden, even colour, no brown spots</v>
      </c>
      <c r="H18" s="12" t="str">
        <f>IF(F18="","",IFERROR(INDEX(Bands!$J$3:$J$6,MATCH(F18,Bands!$A$3:$A$6,0)),""))</f>
        <v>Not deep golden-brown or reddish-brown (those match higher values). Avoid black or burnt chips.</v>
      </c>
      <c r="I18" s="12" t="str">
        <f>IF(F18="","","Ch3_"&amp;TEXT(COUNT($E$2:E18),"000")&amp;"_"&amp;SUBSTITUTE(F18," ","-")&amp;"_"&amp;TEXT(E18,"0")&amp;".jpg")</f>
        <v>Ch3_017_Low_500.jpg</v>
      </c>
    </row>
    <row r="19" spans="1:9" ht="12.75" customHeight="1" x14ac:dyDescent="0.25">
      <c r="A19" s="2"/>
      <c r="B19" s="8" t="s">
        <v>27</v>
      </c>
      <c r="C19" s="9">
        <v>1.0159</v>
      </c>
      <c r="D19" s="10">
        <v>106.428</v>
      </c>
      <c r="E19" s="11">
        <f t="shared" si="0"/>
        <v>1047.6227975194408</v>
      </c>
      <c r="F19" s="12" t="str">
        <f>IF(NOT(ISNUMBER(E19)),"",IF(E19&lt;Bands!$B$4,"Low",IF(E19&lt;Bands!$B$5,"Medium",IF(E19&lt;Bands!$B$6,"High","Very high"))))</f>
        <v>High</v>
      </c>
      <c r="G19" s="12" t="str">
        <f>IF(F19="","",IFERROR(INDEX(Bands!$D$3:$D$6,MATCH(F19,Bands!$A$3:$A$6,0)),""))</f>
        <v>Golden-brown with a reddish tint, brown edges, somewhat uneven</v>
      </c>
      <c r="H19" s="12" t="str">
        <f>IF(F19="","",IFERROR(INDEX(Bands!$J$3:$J$6,MATCH(F19,Bands!$A$3:$A$6,0)),""))</f>
        <v>Not pale yellow, which would match a low value. Not black or burnt, since very dark chips can have lower acrylamide.</v>
      </c>
      <c r="I19" s="12" t="str">
        <f>IF(F19="","","Ch3_"&amp;TEXT(COUNT($E$2:E19),"000")&amp;"_"&amp;SUBSTITUTE(F19," ","-")&amp;"_"&amp;TEXT(E19,"0")&amp;".jpg")</f>
        <v>Ch3_018_High_1048.jpg</v>
      </c>
    </row>
    <row r="20" spans="1:9" ht="12.75" customHeight="1" x14ac:dyDescent="0.25">
      <c r="A20" s="2"/>
      <c r="B20" s="8" t="s">
        <v>28</v>
      </c>
      <c r="C20" s="9">
        <v>0.98860000000000003</v>
      </c>
      <c r="D20" s="10">
        <v>35.539000000000001</v>
      </c>
      <c r="E20" s="11">
        <f t="shared" si="0"/>
        <v>359.48816508193403</v>
      </c>
      <c r="F20" s="12" t="str">
        <f>IF(NOT(ISNUMBER(E20)),"",IF(E20&lt;Bands!$B$4,"Low",IF(E20&lt;Bands!$B$5,"Medium",IF(E20&lt;Bands!$B$6,"High","Very high"))))</f>
        <v>Low</v>
      </c>
      <c r="G20" s="12" t="str">
        <f>IF(F20="","",IFERROR(INDEX(Bands!$D$3:$D$6,MATCH(F20,Bands!$A$3:$A$6,0)),""))</f>
        <v>Pale yellow to light golden, even colour, no brown spots</v>
      </c>
      <c r="H20" s="12" t="str">
        <f>IF(F20="","",IFERROR(INDEX(Bands!$J$3:$J$6,MATCH(F20,Bands!$A$3:$A$6,0)),""))</f>
        <v>Not deep golden-brown or reddish-brown (those match higher values). Avoid black or burnt chips.</v>
      </c>
      <c r="I20" s="12" t="str">
        <f>IF(F20="","","Ch3_"&amp;TEXT(COUNT($E$2:E20),"000")&amp;"_"&amp;SUBSTITUTE(F20," ","-")&amp;"_"&amp;TEXT(E20,"0")&amp;".jpg")</f>
        <v>Ch3_019_Low_359.jpg</v>
      </c>
    </row>
    <row r="21" spans="1:9" ht="12.75" customHeight="1" x14ac:dyDescent="0.25">
      <c r="A21" s="2"/>
      <c r="B21" s="8" t="s">
        <v>29</v>
      </c>
      <c r="C21" s="9">
        <v>0.9667</v>
      </c>
      <c r="D21" s="10">
        <v>13.407</v>
      </c>
      <c r="E21" s="11">
        <f t="shared" si="0"/>
        <v>138.68832109237613</v>
      </c>
      <c r="F21" s="12" t="str">
        <f>IF(NOT(ISNUMBER(E21)),"",IF(E21&lt;Bands!$B$4,"Low",IF(E21&lt;Bands!$B$5,"Medium",IF(E21&lt;Bands!$B$6,"High","Very high"))))</f>
        <v>Low</v>
      </c>
      <c r="G21" s="12" t="str">
        <f>IF(F21="","",IFERROR(INDEX(Bands!$D$3:$D$6,MATCH(F21,Bands!$A$3:$A$6,0)),""))</f>
        <v>Pale yellow to light golden, even colour, no brown spots</v>
      </c>
      <c r="H21" s="12" t="str">
        <f>IF(F21="","",IFERROR(INDEX(Bands!$J$3:$J$6,MATCH(F21,Bands!$A$3:$A$6,0)),""))</f>
        <v>Not deep golden-brown or reddish-brown (those match higher values). Avoid black or burnt chips.</v>
      </c>
      <c r="I21" s="12" t="str">
        <f>IF(F21="","","Ch3_"&amp;TEXT(COUNT($E$2:E21),"000")&amp;"_"&amp;SUBSTITUTE(F21," ","-")&amp;"_"&amp;TEXT(E21,"0")&amp;".jpg")</f>
        <v>Ch3_020_Low_139.jpg</v>
      </c>
    </row>
    <row r="22" spans="1:9" ht="12.75" customHeight="1" x14ac:dyDescent="0.25">
      <c r="A22" s="2"/>
      <c r="B22" s="8" t="s">
        <v>30</v>
      </c>
      <c r="C22" s="9">
        <v>1.0004999999999999</v>
      </c>
      <c r="D22" s="10">
        <v>37.948</v>
      </c>
      <c r="E22" s="11">
        <f t="shared" si="0"/>
        <v>379.29035482258877</v>
      </c>
      <c r="F22" s="12" t="str">
        <f>IF(NOT(ISNUMBER(E22)),"",IF(E22&lt;Bands!$B$4,"Low",IF(E22&lt;Bands!$B$5,"Medium",IF(E22&lt;Bands!$B$6,"High","Very high"))))</f>
        <v>Low</v>
      </c>
      <c r="G22" s="12" t="str">
        <f>IF(F22="","",IFERROR(INDEX(Bands!$D$3:$D$6,MATCH(F22,Bands!$A$3:$A$6,0)),""))</f>
        <v>Pale yellow to light golden, even colour, no brown spots</v>
      </c>
      <c r="H22" s="12" t="str">
        <f>IF(F22="","",IFERROR(INDEX(Bands!$J$3:$J$6,MATCH(F22,Bands!$A$3:$A$6,0)),""))</f>
        <v>Not deep golden-brown or reddish-brown (those match higher values). Avoid black or burnt chips.</v>
      </c>
      <c r="I22" s="12" t="str">
        <f>IF(F22="","","Ch3_"&amp;TEXT(COUNT($E$2:E22),"000")&amp;"_"&amp;SUBSTITUTE(F22," ","-")&amp;"_"&amp;TEXT(E22,"0")&amp;".jpg")</f>
        <v>Ch3_021_Low_379.jpg</v>
      </c>
    </row>
    <row r="23" spans="1:9" ht="12.75" customHeight="1" x14ac:dyDescent="0.25">
      <c r="A23" s="2"/>
      <c r="B23" s="8" t="s">
        <v>31</v>
      </c>
      <c r="C23" s="9">
        <v>0.96840000000000004</v>
      </c>
      <c r="D23" s="10">
        <v>40.511000000000003</v>
      </c>
      <c r="E23" s="11">
        <f t="shared" si="0"/>
        <v>418.32920280875669</v>
      </c>
      <c r="F23" s="12" t="str">
        <f>IF(NOT(ISNUMBER(E23)),"",IF(E23&lt;Bands!$B$4,"Low",IF(E23&lt;Bands!$B$5,"Medium",IF(E23&lt;Bands!$B$6,"High","Very high"))))</f>
        <v>Low</v>
      </c>
      <c r="G23" s="12" t="str">
        <f>IF(F23="","",IFERROR(INDEX(Bands!$D$3:$D$6,MATCH(F23,Bands!$A$3:$A$6,0)),""))</f>
        <v>Pale yellow to light golden, even colour, no brown spots</v>
      </c>
      <c r="H23" s="12" t="str">
        <f>IF(F23="","",IFERROR(INDEX(Bands!$J$3:$J$6,MATCH(F23,Bands!$A$3:$A$6,0)),""))</f>
        <v>Not deep golden-brown or reddish-brown (those match higher values). Avoid black or burnt chips.</v>
      </c>
      <c r="I23" s="12" t="str">
        <f>IF(F23="","","Ch3_"&amp;TEXT(COUNT($E$2:E23),"000")&amp;"_"&amp;SUBSTITUTE(F23," ","-")&amp;"_"&amp;TEXT(E23,"0")&amp;".jpg")</f>
        <v>Ch3_022_Low_418.jpg</v>
      </c>
    </row>
    <row r="24" spans="1:9" ht="12.75" customHeight="1" x14ac:dyDescent="0.25">
      <c r="A24" s="2"/>
      <c r="B24" s="8" t="s">
        <v>32</v>
      </c>
      <c r="C24" s="9">
        <v>1.0422</v>
      </c>
      <c r="D24" s="10">
        <v>29.242000000000001</v>
      </c>
      <c r="E24" s="11">
        <f t="shared" si="0"/>
        <v>280.5795432738438</v>
      </c>
      <c r="F24" s="12" t="str">
        <f>IF(NOT(ISNUMBER(E24)),"",IF(E24&lt;Bands!$B$4,"Low",IF(E24&lt;Bands!$B$5,"Medium",IF(E24&lt;Bands!$B$6,"High","Very high"))))</f>
        <v>Low</v>
      </c>
      <c r="G24" s="12" t="str">
        <f>IF(F24="","",IFERROR(INDEX(Bands!$D$3:$D$6,MATCH(F24,Bands!$A$3:$A$6,0)),""))</f>
        <v>Pale yellow to light golden, even colour, no brown spots</v>
      </c>
      <c r="H24" s="12" t="str">
        <f>IF(F24="","",IFERROR(INDEX(Bands!$J$3:$J$6,MATCH(F24,Bands!$A$3:$A$6,0)),""))</f>
        <v>Not deep golden-brown or reddish-brown (those match higher values). Avoid black or burnt chips.</v>
      </c>
      <c r="I24" s="12" t="str">
        <f>IF(F24="","","Ch3_"&amp;TEXT(COUNT($E$2:E24),"000")&amp;"_"&amp;SUBSTITUTE(F24," ","-")&amp;"_"&amp;TEXT(E24,"0")&amp;".jpg")</f>
        <v>Ch3_023_Low_281.jpg</v>
      </c>
    </row>
    <row r="25" spans="1:9" ht="12.75" customHeight="1" x14ac:dyDescent="0.25">
      <c r="A25" s="2"/>
      <c r="B25" s="8" t="s">
        <v>33</v>
      </c>
      <c r="C25" s="9">
        <v>1.0172000000000001</v>
      </c>
      <c r="D25" s="10">
        <v>32.259</v>
      </c>
      <c r="E25" s="11">
        <f t="shared" si="0"/>
        <v>317.13527329925284</v>
      </c>
      <c r="F25" s="12" t="str">
        <f>IF(NOT(ISNUMBER(E25)),"",IF(E25&lt;Bands!$B$4,"Low",IF(E25&lt;Bands!$B$5,"Medium",IF(E25&lt;Bands!$B$6,"High","Very high"))))</f>
        <v>Low</v>
      </c>
      <c r="G25" s="12" t="str">
        <f>IF(F25="","",IFERROR(INDEX(Bands!$D$3:$D$6,MATCH(F25,Bands!$A$3:$A$6,0)),""))</f>
        <v>Pale yellow to light golden, even colour, no brown spots</v>
      </c>
      <c r="H25" s="12" t="str">
        <f>IF(F25="","",IFERROR(INDEX(Bands!$J$3:$J$6,MATCH(F25,Bands!$A$3:$A$6,0)),""))</f>
        <v>Not deep golden-brown or reddish-brown (those match higher values). Avoid black or burnt chips.</v>
      </c>
      <c r="I25" s="12" t="str">
        <f>IF(F25="","","Ch3_"&amp;TEXT(COUNT($E$2:E25),"000")&amp;"_"&amp;SUBSTITUTE(F25," ","-")&amp;"_"&amp;TEXT(E25,"0")&amp;".jpg")</f>
        <v>Ch3_024_Low_317.jpg</v>
      </c>
    </row>
    <row r="26" spans="1:9" ht="12.75" customHeight="1" x14ac:dyDescent="0.25">
      <c r="B26" s="8"/>
      <c r="C26" s="9"/>
      <c r="D26" s="10"/>
      <c r="E26" s="11"/>
    </row>
    <row r="27" spans="1:9" ht="12.75" customHeight="1" x14ac:dyDescent="0.25">
      <c r="A27" s="2" t="s">
        <v>34</v>
      </c>
      <c r="B27" s="8" t="s">
        <v>10</v>
      </c>
      <c r="C27" s="9">
        <v>0.99660000000000004</v>
      </c>
      <c r="D27" s="10">
        <v>47.158000000000001</v>
      </c>
      <c r="E27" s="11">
        <f t="shared" ref="E27:E50" si="1">D27*10/C27</f>
        <v>473.18884206301425</v>
      </c>
      <c r="F27" s="12" t="str">
        <f>IF(NOT(ISNUMBER(E27)),"",IF(E27&lt;Bands!$B$4,"Low",IF(E27&lt;Bands!$B$5,"Medium",IF(E27&lt;Bands!$B$6,"High","Very high"))))</f>
        <v>Low</v>
      </c>
      <c r="G27" s="12" t="str">
        <f>IF(F27="","",IFERROR(INDEX(Bands!$D$3:$D$6,MATCH(F27,Bands!$A$3:$A$6,0)),""))</f>
        <v>Pale yellow to light golden, even colour, no brown spots</v>
      </c>
      <c r="H27" s="12" t="str">
        <f>IF(F27="","",IFERROR(INDEX(Bands!$J$3:$J$6,MATCH(F27,Bands!$A$3:$A$6,0)),""))</f>
        <v>Not deep golden-brown or reddish-brown (those match higher values). Avoid black or burnt chips.</v>
      </c>
      <c r="I27" s="12" t="str">
        <f>IF(F27="","","Ch3_"&amp;TEXT(COUNT($E$2:E27),"000")&amp;"_"&amp;SUBSTITUTE(F27," ","-")&amp;"_"&amp;TEXT(E27,"0")&amp;".jpg")</f>
        <v>Ch3_025_Low_473.jpg</v>
      </c>
    </row>
    <row r="28" spans="1:9" ht="12.75" customHeight="1" x14ac:dyDescent="0.25">
      <c r="A28" s="2"/>
      <c r="B28" s="8" t="s">
        <v>11</v>
      </c>
      <c r="C28" s="9">
        <v>0.97070000000000001</v>
      </c>
      <c r="D28" s="10">
        <v>33.109000000000002</v>
      </c>
      <c r="E28" s="11">
        <f t="shared" si="1"/>
        <v>341.08375399196461</v>
      </c>
      <c r="F28" s="12" t="str">
        <f>IF(NOT(ISNUMBER(E28)),"",IF(E28&lt;Bands!$B$4,"Low",IF(E28&lt;Bands!$B$5,"Medium",IF(E28&lt;Bands!$B$6,"High","Very high"))))</f>
        <v>Low</v>
      </c>
      <c r="G28" s="12" t="str">
        <f>IF(F28="","",IFERROR(INDEX(Bands!$D$3:$D$6,MATCH(F28,Bands!$A$3:$A$6,0)),""))</f>
        <v>Pale yellow to light golden, even colour, no brown spots</v>
      </c>
      <c r="H28" s="12" t="str">
        <f>IF(F28="","",IFERROR(INDEX(Bands!$J$3:$J$6,MATCH(F28,Bands!$A$3:$A$6,0)),""))</f>
        <v>Not deep golden-brown or reddish-brown (those match higher values). Avoid black or burnt chips.</v>
      </c>
      <c r="I28" s="12" t="str">
        <f>IF(F28="","","Ch3_"&amp;TEXT(COUNT($E$2:E28),"000")&amp;"_"&amp;SUBSTITUTE(F28," ","-")&amp;"_"&amp;TEXT(E28,"0")&amp;".jpg")</f>
        <v>Ch3_026_Low_341.jpg</v>
      </c>
    </row>
    <row r="29" spans="1:9" ht="12.75" customHeight="1" x14ac:dyDescent="0.25">
      <c r="A29" s="2"/>
      <c r="B29" s="8" t="s">
        <v>12</v>
      </c>
      <c r="C29" s="9">
        <v>0.9929</v>
      </c>
      <c r="D29" s="10">
        <v>8.81</v>
      </c>
      <c r="E29" s="11">
        <f t="shared" si="1"/>
        <v>88.729982878436914</v>
      </c>
      <c r="F29" s="12" t="str">
        <f>IF(NOT(ISNUMBER(E29)),"",IF(E29&lt;Bands!$B$4,"Low",IF(E29&lt;Bands!$B$5,"Medium",IF(E29&lt;Bands!$B$6,"High","Very high"))))</f>
        <v>Low</v>
      </c>
      <c r="G29" s="12" t="str">
        <f>IF(F29="","",IFERROR(INDEX(Bands!$D$3:$D$6,MATCH(F29,Bands!$A$3:$A$6,0)),""))</f>
        <v>Pale yellow to light golden, even colour, no brown spots</v>
      </c>
      <c r="H29" s="12" t="str">
        <f>IF(F29="","",IFERROR(INDEX(Bands!$J$3:$J$6,MATCH(F29,Bands!$A$3:$A$6,0)),""))</f>
        <v>Not deep golden-brown or reddish-brown (those match higher values). Avoid black or burnt chips.</v>
      </c>
      <c r="I29" s="12" t="str">
        <f>IF(F29="","","Ch3_"&amp;TEXT(COUNT($E$2:E29),"000")&amp;"_"&amp;SUBSTITUTE(F29," ","-")&amp;"_"&amp;TEXT(E29,"0")&amp;".jpg")</f>
        <v>Ch3_027_Low_89.jpg</v>
      </c>
    </row>
    <row r="30" spans="1:9" ht="12.75" customHeight="1" x14ac:dyDescent="0.25">
      <c r="A30" s="2"/>
      <c r="B30" s="8" t="s">
        <v>13</v>
      </c>
      <c r="C30" s="9">
        <v>0.98780000000000001</v>
      </c>
      <c r="D30" s="10">
        <v>16.625</v>
      </c>
      <c r="E30" s="11">
        <f t="shared" si="1"/>
        <v>168.30330026321118</v>
      </c>
      <c r="F30" s="12" t="str">
        <f>IF(NOT(ISNUMBER(E30)),"",IF(E30&lt;Bands!$B$4,"Low",IF(E30&lt;Bands!$B$5,"Medium",IF(E30&lt;Bands!$B$6,"High","Very high"))))</f>
        <v>Low</v>
      </c>
      <c r="G30" s="12" t="str">
        <f>IF(F30="","",IFERROR(INDEX(Bands!$D$3:$D$6,MATCH(F30,Bands!$A$3:$A$6,0)),""))</f>
        <v>Pale yellow to light golden, even colour, no brown spots</v>
      </c>
      <c r="H30" s="12" t="str">
        <f>IF(F30="","",IFERROR(INDEX(Bands!$J$3:$J$6,MATCH(F30,Bands!$A$3:$A$6,0)),""))</f>
        <v>Not deep golden-brown or reddish-brown (those match higher values). Avoid black or burnt chips.</v>
      </c>
      <c r="I30" s="12" t="str">
        <f>IF(F30="","","Ch3_"&amp;TEXT(COUNT($E$2:E30),"000")&amp;"_"&amp;SUBSTITUTE(F30," ","-")&amp;"_"&amp;TEXT(E30,"0")&amp;".jpg")</f>
        <v>Ch3_028_Low_168.jpg</v>
      </c>
    </row>
    <row r="31" spans="1:9" ht="12.75" customHeight="1" x14ac:dyDescent="0.25">
      <c r="A31" s="2"/>
      <c r="B31" s="8" t="s">
        <v>14</v>
      </c>
      <c r="C31" s="9">
        <v>1.0428999999999999</v>
      </c>
      <c r="D31" s="10">
        <v>17.283000000000001</v>
      </c>
      <c r="E31" s="11">
        <f t="shared" si="1"/>
        <v>165.72058682519898</v>
      </c>
      <c r="F31" s="12" t="str">
        <f>IF(NOT(ISNUMBER(E31)),"",IF(E31&lt;Bands!$B$4,"Low",IF(E31&lt;Bands!$B$5,"Medium",IF(E31&lt;Bands!$B$6,"High","Very high"))))</f>
        <v>Low</v>
      </c>
      <c r="G31" s="12" t="str">
        <f>IF(F31="","",IFERROR(INDEX(Bands!$D$3:$D$6,MATCH(F31,Bands!$A$3:$A$6,0)),""))</f>
        <v>Pale yellow to light golden, even colour, no brown spots</v>
      </c>
      <c r="H31" s="12" t="str">
        <f>IF(F31="","",IFERROR(INDEX(Bands!$J$3:$J$6,MATCH(F31,Bands!$A$3:$A$6,0)),""))</f>
        <v>Not deep golden-brown or reddish-brown (those match higher values). Avoid black or burnt chips.</v>
      </c>
      <c r="I31" s="12" t="str">
        <f>IF(F31="","","Ch3_"&amp;TEXT(COUNT($E$2:E31),"000")&amp;"_"&amp;SUBSTITUTE(F31," ","-")&amp;"_"&amp;TEXT(E31,"0")&amp;".jpg")</f>
        <v>Ch3_029_Low_166.jpg</v>
      </c>
    </row>
    <row r="32" spans="1:9" ht="12.75" customHeight="1" x14ac:dyDescent="0.25">
      <c r="A32" s="2"/>
      <c r="B32" s="8" t="s">
        <v>15</v>
      </c>
      <c r="C32" s="9">
        <v>1.03</v>
      </c>
      <c r="D32" s="10">
        <v>26.896999999999998</v>
      </c>
      <c r="E32" s="11">
        <f t="shared" si="1"/>
        <v>261.13592233009706</v>
      </c>
      <c r="F32" s="12" t="str">
        <f>IF(NOT(ISNUMBER(E32)),"",IF(E32&lt;Bands!$B$4,"Low",IF(E32&lt;Bands!$B$5,"Medium",IF(E32&lt;Bands!$B$6,"High","Very high"))))</f>
        <v>Low</v>
      </c>
      <c r="G32" s="12" t="str">
        <f>IF(F32="","",IFERROR(INDEX(Bands!$D$3:$D$6,MATCH(F32,Bands!$A$3:$A$6,0)),""))</f>
        <v>Pale yellow to light golden, even colour, no brown spots</v>
      </c>
      <c r="H32" s="12" t="str">
        <f>IF(F32="","",IFERROR(INDEX(Bands!$J$3:$J$6,MATCH(F32,Bands!$A$3:$A$6,0)),""))</f>
        <v>Not deep golden-brown or reddish-brown (those match higher values). Avoid black or burnt chips.</v>
      </c>
      <c r="I32" s="12" t="str">
        <f>IF(F32="","","Ch3_"&amp;TEXT(COUNT($E$2:E32),"000")&amp;"_"&amp;SUBSTITUTE(F32," ","-")&amp;"_"&amp;TEXT(E32,"0")&amp;".jpg")</f>
        <v>Ch3_030_Low_261.jpg</v>
      </c>
    </row>
    <row r="33" spans="1:9" ht="12.75" customHeight="1" x14ac:dyDescent="0.25">
      <c r="A33" s="2"/>
      <c r="B33" s="8" t="s">
        <v>16</v>
      </c>
      <c r="C33" s="9">
        <v>0.96640000000000004</v>
      </c>
      <c r="D33" s="10">
        <v>17.66</v>
      </c>
      <c r="E33" s="11">
        <f t="shared" si="1"/>
        <v>182.74006622516555</v>
      </c>
      <c r="F33" s="12" t="str">
        <f>IF(NOT(ISNUMBER(E33)),"",IF(E33&lt;Bands!$B$4,"Low",IF(E33&lt;Bands!$B$5,"Medium",IF(E33&lt;Bands!$B$6,"High","Very high"))))</f>
        <v>Low</v>
      </c>
      <c r="G33" s="12" t="str">
        <f>IF(F33="","",IFERROR(INDEX(Bands!$D$3:$D$6,MATCH(F33,Bands!$A$3:$A$6,0)),""))</f>
        <v>Pale yellow to light golden, even colour, no brown spots</v>
      </c>
      <c r="H33" s="12" t="str">
        <f>IF(F33="","",IFERROR(INDEX(Bands!$J$3:$J$6,MATCH(F33,Bands!$A$3:$A$6,0)),""))</f>
        <v>Not deep golden-brown or reddish-brown (those match higher values). Avoid black or burnt chips.</v>
      </c>
      <c r="I33" s="12" t="str">
        <f>IF(F33="","","Ch3_"&amp;TEXT(COUNT($E$2:E33),"000")&amp;"_"&amp;SUBSTITUTE(F33," ","-")&amp;"_"&amp;TEXT(E33,"0")&amp;".jpg")</f>
        <v>Ch3_031_Low_183.jpg</v>
      </c>
    </row>
    <row r="34" spans="1:9" ht="12.75" customHeight="1" x14ac:dyDescent="0.25">
      <c r="A34" s="2"/>
      <c r="B34" s="8" t="s">
        <v>17</v>
      </c>
      <c r="C34" s="9">
        <v>1.0124</v>
      </c>
      <c r="D34" s="10">
        <v>21.728999999999999</v>
      </c>
      <c r="E34" s="11">
        <f t="shared" si="1"/>
        <v>214.62860529435005</v>
      </c>
      <c r="F34" s="12" t="str">
        <f>IF(NOT(ISNUMBER(E34)),"",IF(E34&lt;Bands!$B$4,"Low",IF(E34&lt;Bands!$B$5,"Medium",IF(E34&lt;Bands!$B$6,"High","Very high"))))</f>
        <v>Low</v>
      </c>
      <c r="G34" s="12" t="str">
        <f>IF(F34="","",IFERROR(INDEX(Bands!$D$3:$D$6,MATCH(F34,Bands!$A$3:$A$6,0)),""))</f>
        <v>Pale yellow to light golden, even colour, no brown spots</v>
      </c>
      <c r="H34" s="12" t="str">
        <f>IF(F34="","",IFERROR(INDEX(Bands!$J$3:$J$6,MATCH(F34,Bands!$A$3:$A$6,0)),""))</f>
        <v>Not deep golden-brown or reddish-brown (those match higher values). Avoid black or burnt chips.</v>
      </c>
      <c r="I34" s="12" t="str">
        <f>IF(F34="","","Ch3_"&amp;TEXT(COUNT($E$2:E34),"000")&amp;"_"&amp;SUBSTITUTE(F34," ","-")&amp;"_"&amp;TEXT(E34,"0")&amp;".jpg")</f>
        <v>Ch3_032_Low_215.jpg</v>
      </c>
    </row>
    <row r="35" spans="1:9" ht="12.75" customHeight="1" x14ac:dyDescent="0.25">
      <c r="A35" s="2"/>
      <c r="B35" s="8" t="s">
        <v>18</v>
      </c>
      <c r="C35" s="9">
        <v>1.0051000000000001</v>
      </c>
      <c r="D35" s="10">
        <v>20.524000000000001</v>
      </c>
      <c r="E35" s="11">
        <f t="shared" si="1"/>
        <v>204.1985872052532</v>
      </c>
      <c r="F35" s="12" t="str">
        <f>IF(NOT(ISNUMBER(E35)),"",IF(E35&lt;Bands!$B$4,"Low",IF(E35&lt;Bands!$B$5,"Medium",IF(E35&lt;Bands!$B$6,"High","Very high"))))</f>
        <v>Low</v>
      </c>
      <c r="G35" s="12" t="str">
        <f>IF(F35="","",IFERROR(INDEX(Bands!$D$3:$D$6,MATCH(F35,Bands!$A$3:$A$6,0)),""))</f>
        <v>Pale yellow to light golden, even colour, no brown spots</v>
      </c>
      <c r="H35" s="12" t="str">
        <f>IF(F35="","",IFERROR(INDEX(Bands!$J$3:$J$6,MATCH(F35,Bands!$A$3:$A$6,0)),""))</f>
        <v>Not deep golden-brown or reddish-brown (those match higher values). Avoid black or burnt chips.</v>
      </c>
      <c r="I35" s="12" t="str">
        <f>IF(F35="","","Ch3_"&amp;TEXT(COUNT($E$2:E35),"000")&amp;"_"&amp;SUBSTITUTE(F35," ","-")&amp;"_"&amp;TEXT(E35,"0")&amp;".jpg")</f>
        <v>Ch3_033_Low_204.jpg</v>
      </c>
    </row>
    <row r="36" spans="1:9" ht="12.75" customHeight="1" x14ac:dyDescent="0.25">
      <c r="A36" s="2"/>
      <c r="B36" s="8" t="s">
        <v>19</v>
      </c>
      <c r="C36" s="9">
        <v>0.99270000000000003</v>
      </c>
      <c r="D36" s="10">
        <v>45.905999999999999</v>
      </c>
      <c r="E36" s="11">
        <f t="shared" si="1"/>
        <v>462.43578120278028</v>
      </c>
      <c r="F36" s="12" t="str">
        <f>IF(NOT(ISNUMBER(E36)),"",IF(E36&lt;Bands!$B$4,"Low",IF(E36&lt;Bands!$B$5,"Medium",IF(E36&lt;Bands!$B$6,"High","Very high"))))</f>
        <v>Low</v>
      </c>
      <c r="G36" s="12" t="str">
        <f>IF(F36="","",IFERROR(INDEX(Bands!$D$3:$D$6,MATCH(F36,Bands!$A$3:$A$6,0)),""))</f>
        <v>Pale yellow to light golden, even colour, no brown spots</v>
      </c>
      <c r="H36" s="12" t="str">
        <f>IF(F36="","",IFERROR(INDEX(Bands!$J$3:$J$6,MATCH(F36,Bands!$A$3:$A$6,0)),""))</f>
        <v>Not deep golden-brown or reddish-brown (those match higher values). Avoid black or burnt chips.</v>
      </c>
      <c r="I36" s="12" t="str">
        <f>IF(F36="","","Ch3_"&amp;TEXT(COUNT($E$2:E36),"000")&amp;"_"&amp;SUBSTITUTE(F36," ","-")&amp;"_"&amp;TEXT(E36,"0")&amp;".jpg")</f>
        <v>Ch3_034_Low_462.jpg</v>
      </c>
    </row>
    <row r="37" spans="1:9" ht="12.75" customHeight="1" x14ac:dyDescent="0.25">
      <c r="A37" s="2"/>
      <c r="B37" s="8" t="s">
        <v>20</v>
      </c>
      <c r="C37" s="9">
        <v>1.0149999999999999</v>
      </c>
      <c r="D37" s="10">
        <v>64.177000000000007</v>
      </c>
      <c r="E37" s="11">
        <f t="shared" si="1"/>
        <v>632.28571428571445</v>
      </c>
      <c r="F37" s="12" t="str">
        <f>IF(NOT(ISNUMBER(E37)),"",IF(E37&lt;Bands!$B$4,"Low",IF(E37&lt;Bands!$B$5,"Medium",IF(E37&lt;Bands!$B$6,"High","Very high"))))</f>
        <v>Medium</v>
      </c>
      <c r="G37" s="12" t="str">
        <f>IF(F37="","",IFERROR(INDEX(Bands!$D$3:$D$6,MATCH(F37,Bands!$A$3:$A$6,0)),""))</f>
        <v>Golden yellow with light brown at some edges or small spots</v>
      </c>
      <c r="H37" s="12" t="str">
        <f>IF(F37="","",IFERROR(INDEX(Bands!$J$3:$J$6,MATCH(F37,Bands!$A$3:$A$6,0)),""))</f>
        <v>Not pale yellow (matches a low value) and not deep reddish-brown (matches a high value). Avoid black or burnt chips.</v>
      </c>
      <c r="I37" s="12" t="str">
        <f>IF(F37="","","Ch3_"&amp;TEXT(COUNT($E$2:E37),"000")&amp;"_"&amp;SUBSTITUTE(F37," ","-")&amp;"_"&amp;TEXT(E37,"0")&amp;".jpg")</f>
        <v>Ch3_035_Medium_632.jpg</v>
      </c>
    </row>
    <row r="38" spans="1:9" ht="12.75" customHeight="1" x14ac:dyDescent="0.25">
      <c r="A38" s="2"/>
      <c r="B38" s="8" t="s">
        <v>21</v>
      </c>
      <c r="C38" s="9">
        <v>0.97089999999999999</v>
      </c>
      <c r="D38" s="10">
        <v>52.087000000000003</v>
      </c>
      <c r="E38" s="11">
        <f t="shared" si="1"/>
        <v>536.48161499639514</v>
      </c>
      <c r="F38" s="12" t="str">
        <f>IF(NOT(ISNUMBER(E38)),"",IF(E38&lt;Bands!$B$4,"Low",IF(E38&lt;Bands!$B$5,"Medium",IF(E38&lt;Bands!$B$6,"High","Very high"))))</f>
        <v>Medium</v>
      </c>
      <c r="G38" s="12" t="str">
        <f>IF(F38="","",IFERROR(INDEX(Bands!$D$3:$D$6,MATCH(F38,Bands!$A$3:$A$6,0)),""))</f>
        <v>Golden yellow with light brown at some edges or small spots</v>
      </c>
      <c r="H38" s="12" t="str">
        <f>IF(F38="","",IFERROR(INDEX(Bands!$J$3:$J$6,MATCH(F38,Bands!$A$3:$A$6,0)),""))</f>
        <v>Not pale yellow (matches a low value) and not deep reddish-brown (matches a high value). Avoid black or burnt chips.</v>
      </c>
      <c r="I38" s="12" t="str">
        <f>IF(F38="","","Ch3_"&amp;TEXT(COUNT($E$2:E38),"000")&amp;"_"&amp;SUBSTITUTE(F38," ","-")&amp;"_"&amp;TEXT(E38,"0")&amp;".jpg")</f>
        <v>Ch3_036_Medium_536.jpg</v>
      </c>
    </row>
    <row r="39" spans="1:9" ht="12.75" customHeight="1" x14ac:dyDescent="0.25">
      <c r="A39" s="2"/>
      <c r="B39" s="8" t="s">
        <v>22</v>
      </c>
      <c r="C39" s="9">
        <v>1.0307999999999999</v>
      </c>
      <c r="D39" s="10">
        <v>17.524999999999999</v>
      </c>
      <c r="E39" s="11">
        <f t="shared" si="1"/>
        <v>170.01358168412884</v>
      </c>
      <c r="F39" s="12" t="str">
        <f>IF(NOT(ISNUMBER(E39)),"",IF(E39&lt;Bands!$B$4,"Low",IF(E39&lt;Bands!$B$5,"Medium",IF(E39&lt;Bands!$B$6,"High","Very high"))))</f>
        <v>Low</v>
      </c>
      <c r="G39" s="12" t="str">
        <f>IF(F39="","",IFERROR(INDEX(Bands!$D$3:$D$6,MATCH(F39,Bands!$A$3:$A$6,0)),""))</f>
        <v>Pale yellow to light golden, even colour, no brown spots</v>
      </c>
      <c r="H39" s="12" t="str">
        <f>IF(F39="","",IFERROR(INDEX(Bands!$J$3:$J$6,MATCH(F39,Bands!$A$3:$A$6,0)),""))</f>
        <v>Not deep golden-brown or reddish-brown (those match higher values). Avoid black or burnt chips.</v>
      </c>
      <c r="I39" s="12" t="str">
        <f>IF(F39="","","Ch3_"&amp;TEXT(COUNT($E$2:E39),"000")&amp;"_"&amp;SUBSTITUTE(F39," ","-")&amp;"_"&amp;TEXT(E39,"0")&amp;".jpg")</f>
        <v>Ch3_037_Low_170.jpg</v>
      </c>
    </row>
    <row r="40" spans="1:9" ht="12.75" customHeight="1" x14ac:dyDescent="0.25">
      <c r="A40" s="2"/>
      <c r="B40" s="8" t="s">
        <v>23</v>
      </c>
      <c r="C40" s="9">
        <v>0.98899999999999999</v>
      </c>
      <c r="D40" s="10">
        <v>10.009</v>
      </c>
      <c r="E40" s="11">
        <f t="shared" si="1"/>
        <v>101.20323559150658</v>
      </c>
      <c r="F40" s="12" t="str">
        <f>IF(NOT(ISNUMBER(E40)),"",IF(E40&lt;Bands!$B$4,"Low",IF(E40&lt;Bands!$B$5,"Medium",IF(E40&lt;Bands!$B$6,"High","Very high"))))</f>
        <v>Low</v>
      </c>
      <c r="G40" s="12" t="str">
        <f>IF(F40="","",IFERROR(INDEX(Bands!$D$3:$D$6,MATCH(F40,Bands!$A$3:$A$6,0)),""))</f>
        <v>Pale yellow to light golden, even colour, no brown spots</v>
      </c>
      <c r="H40" s="12" t="str">
        <f>IF(F40="","",IFERROR(INDEX(Bands!$J$3:$J$6,MATCH(F40,Bands!$A$3:$A$6,0)),""))</f>
        <v>Not deep golden-brown or reddish-brown (those match higher values). Avoid black or burnt chips.</v>
      </c>
      <c r="I40" s="12" t="str">
        <f>IF(F40="","","Ch3_"&amp;TEXT(COUNT($E$2:E40),"000")&amp;"_"&amp;SUBSTITUTE(F40," ","-")&amp;"_"&amp;TEXT(E40,"0")&amp;".jpg")</f>
        <v>Ch3_038_Low_101.jpg</v>
      </c>
    </row>
    <row r="41" spans="1:9" ht="12.75" customHeight="1" x14ac:dyDescent="0.25">
      <c r="A41" s="2"/>
      <c r="B41" s="8" t="s">
        <v>24</v>
      </c>
      <c r="C41" s="9">
        <v>1.0004999999999999</v>
      </c>
      <c r="D41" s="10">
        <v>61.85</v>
      </c>
      <c r="E41" s="11">
        <f t="shared" si="1"/>
        <v>618.19090454772618</v>
      </c>
      <c r="F41" s="12" t="str">
        <f>IF(NOT(ISNUMBER(E41)),"",IF(E41&lt;Bands!$B$4,"Low",IF(E41&lt;Bands!$B$5,"Medium",IF(E41&lt;Bands!$B$6,"High","Very high"))))</f>
        <v>Medium</v>
      </c>
      <c r="G41" s="12" t="str">
        <f>IF(F41="","",IFERROR(INDEX(Bands!$D$3:$D$6,MATCH(F41,Bands!$A$3:$A$6,0)),""))</f>
        <v>Golden yellow with light brown at some edges or small spots</v>
      </c>
      <c r="H41" s="12" t="str">
        <f>IF(F41="","",IFERROR(INDEX(Bands!$J$3:$J$6,MATCH(F41,Bands!$A$3:$A$6,0)),""))</f>
        <v>Not pale yellow (matches a low value) and not deep reddish-brown (matches a high value). Avoid black or burnt chips.</v>
      </c>
      <c r="I41" s="12" t="str">
        <f>IF(F41="","","Ch3_"&amp;TEXT(COUNT($E$2:E41),"000")&amp;"_"&amp;SUBSTITUTE(F41," ","-")&amp;"_"&amp;TEXT(E41,"0")&amp;".jpg")</f>
        <v>Ch3_039_Medium_618.jpg</v>
      </c>
    </row>
    <row r="42" spans="1:9" ht="12.75" customHeight="1" x14ac:dyDescent="0.25">
      <c r="A42" s="2"/>
      <c r="B42" s="8" t="s">
        <v>25</v>
      </c>
      <c r="C42" s="9">
        <v>0.98099999999999998</v>
      </c>
      <c r="D42" s="10">
        <v>21.053999999999998</v>
      </c>
      <c r="E42" s="11">
        <f t="shared" si="1"/>
        <v>214.6177370030581</v>
      </c>
      <c r="F42" s="12" t="str">
        <f>IF(NOT(ISNUMBER(E42)),"",IF(E42&lt;Bands!$B$4,"Low",IF(E42&lt;Bands!$B$5,"Medium",IF(E42&lt;Bands!$B$6,"High","Very high"))))</f>
        <v>Low</v>
      </c>
      <c r="G42" s="12" t="str">
        <f>IF(F42="","",IFERROR(INDEX(Bands!$D$3:$D$6,MATCH(F42,Bands!$A$3:$A$6,0)),""))</f>
        <v>Pale yellow to light golden, even colour, no brown spots</v>
      </c>
      <c r="H42" s="12" t="str">
        <f>IF(F42="","",IFERROR(INDEX(Bands!$J$3:$J$6,MATCH(F42,Bands!$A$3:$A$6,0)),""))</f>
        <v>Not deep golden-brown or reddish-brown (those match higher values). Avoid black or burnt chips.</v>
      </c>
      <c r="I42" s="12" t="str">
        <f>IF(F42="","","Ch3_"&amp;TEXT(COUNT($E$2:E42),"000")&amp;"_"&amp;SUBSTITUTE(F42," ","-")&amp;"_"&amp;TEXT(E42,"0")&amp;".jpg")</f>
        <v>Ch3_040_Low_215.jpg</v>
      </c>
    </row>
    <row r="43" spans="1:9" ht="12.75" customHeight="1" x14ac:dyDescent="0.25">
      <c r="A43" s="2"/>
      <c r="B43" s="8" t="s">
        <v>26</v>
      </c>
      <c r="C43" s="9">
        <v>1.0162</v>
      </c>
      <c r="D43" s="10">
        <v>12.537000000000001</v>
      </c>
      <c r="E43" s="11">
        <f t="shared" si="1"/>
        <v>123.37138358590829</v>
      </c>
      <c r="F43" s="12" t="str">
        <f>IF(NOT(ISNUMBER(E43)),"",IF(E43&lt;Bands!$B$4,"Low",IF(E43&lt;Bands!$B$5,"Medium",IF(E43&lt;Bands!$B$6,"High","Very high"))))</f>
        <v>Low</v>
      </c>
      <c r="G43" s="12" t="str">
        <f>IF(F43="","",IFERROR(INDEX(Bands!$D$3:$D$6,MATCH(F43,Bands!$A$3:$A$6,0)),""))</f>
        <v>Pale yellow to light golden, even colour, no brown spots</v>
      </c>
      <c r="H43" s="12" t="str">
        <f>IF(F43="","",IFERROR(INDEX(Bands!$J$3:$J$6,MATCH(F43,Bands!$A$3:$A$6,0)),""))</f>
        <v>Not deep golden-brown or reddish-brown (those match higher values). Avoid black or burnt chips.</v>
      </c>
      <c r="I43" s="12" t="str">
        <f>IF(F43="","","Ch3_"&amp;TEXT(COUNT($E$2:E43),"000")&amp;"_"&amp;SUBSTITUTE(F43," ","-")&amp;"_"&amp;TEXT(E43,"0")&amp;".jpg")</f>
        <v>Ch3_041_Low_123.jpg</v>
      </c>
    </row>
    <row r="44" spans="1:9" ht="12.75" customHeight="1" x14ac:dyDescent="0.25">
      <c r="A44" s="2"/>
      <c r="B44" s="8" t="s">
        <v>27</v>
      </c>
      <c r="C44" s="9">
        <v>1.0083</v>
      </c>
      <c r="D44" s="10">
        <v>42.171999999999997</v>
      </c>
      <c r="E44" s="11">
        <f t="shared" si="1"/>
        <v>418.24853714172366</v>
      </c>
      <c r="F44" s="12" t="str">
        <f>IF(NOT(ISNUMBER(E44)),"",IF(E44&lt;Bands!$B$4,"Low",IF(E44&lt;Bands!$B$5,"Medium",IF(E44&lt;Bands!$B$6,"High","Very high"))))</f>
        <v>Low</v>
      </c>
      <c r="G44" s="12" t="str">
        <f>IF(F44="","",IFERROR(INDEX(Bands!$D$3:$D$6,MATCH(F44,Bands!$A$3:$A$6,0)),""))</f>
        <v>Pale yellow to light golden, even colour, no brown spots</v>
      </c>
      <c r="H44" s="12" t="str">
        <f>IF(F44="","",IFERROR(INDEX(Bands!$J$3:$J$6,MATCH(F44,Bands!$A$3:$A$6,0)),""))</f>
        <v>Not deep golden-brown or reddish-brown (those match higher values). Avoid black or burnt chips.</v>
      </c>
      <c r="I44" s="12" t="str">
        <f>IF(F44="","","Ch3_"&amp;TEXT(COUNT($E$2:E44),"000")&amp;"_"&amp;SUBSTITUTE(F44," ","-")&amp;"_"&amp;TEXT(E44,"0")&amp;".jpg")</f>
        <v>Ch3_042_Low_418.jpg</v>
      </c>
    </row>
    <row r="45" spans="1:9" ht="12.75" customHeight="1" x14ac:dyDescent="0.25">
      <c r="A45" s="2"/>
      <c r="B45" s="8" t="s">
        <v>28</v>
      </c>
      <c r="C45" s="9">
        <v>1.0104</v>
      </c>
      <c r="D45" s="10">
        <v>13.608000000000001</v>
      </c>
      <c r="E45" s="11">
        <f t="shared" si="1"/>
        <v>134.67933491686463</v>
      </c>
      <c r="F45" s="12" t="str">
        <f>IF(NOT(ISNUMBER(E45)),"",IF(E45&lt;Bands!$B$4,"Low",IF(E45&lt;Bands!$B$5,"Medium",IF(E45&lt;Bands!$B$6,"High","Very high"))))</f>
        <v>Low</v>
      </c>
      <c r="G45" s="12" t="str">
        <f>IF(F45="","",IFERROR(INDEX(Bands!$D$3:$D$6,MATCH(F45,Bands!$A$3:$A$6,0)),""))</f>
        <v>Pale yellow to light golden, even colour, no brown spots</v>
      </c>
      <c r="H45" s="12" t="str">
        <f>IF(F45="","",IFERROR(INDEX(Bands!$J$3:$J$6,MATCH(F45,Bands!$A$3:$A$6,0)),""))</f>
        <v>Not deep golden-brown or reddish-brown (those match higher values). Avoid black or burnt chips.</v>
      </c>
      <c r="I45" s="12" t="str">
        <f>IF(F45="","","Ch3_"&amp;TEXT(COUNT($E$2:E45),"000")&amp;"_"&amp;SUBSTITUTE(F45," ","-")&amp;"_"&amp;TEXT(E45,"0")&amp;".jpg")</f>
        <v>Ch3_043_Low_135.jpg</v>
      </c>
    </row>
    <row r="46" spans="1:9" ht="12.75" customHeight="1" x14ac:dyDescent="0.25">
      <c r="A46" s="2"/>
      <c r="B46" s="8" t="s">
        <v>29</v>
      </c>
      <c r="C46" s="9">
        <v>0.98399999999999999</v>
      </c>
      <c r="D46" s="10">
        <v>50.673999999999999</v>
      </c>
      <c r="E46" s="11">
        <f t="shared" si="1"/>
        <v>514.97967479674799</v>
      </c>
      <c r="F46" s="12" t="str">
        <f>IF(NOT(ISNUMBER(E46)),"",IF(E46&lt;Bands!$B$4,"Low",IF(E46&lt;Bands!$B$5,"Medium",IF(E46&lt;Bands!$B$6,"High","Very high"))))</f>
        <v>Medium</v>
      </c>
      <c r="G46" s="12" t="str">
        <f>IF(F46="","",IFERROR(INDEX(Bands!$D$3:$D$6,MATCH(F46,Bands!$A$3:$A$6,0)),""))</f>
        <v>Golden yellow with light brown at some edges or small spots</v>
      </c>
      <c r="H46" s="12" t="str">
        <f>IF(F46="","",IFERROR(INDEX(Bands!$J$3:$J$6,MATCH(F46,Bands!$A$3:$A$6,0)),""))</f>
        <v>Not pale yellow (matches a low value) and not deep reddish-brown (matches a high value). Avoid black or burnt chips.</v>
      </c>
      <c r="I46" s="12" t="str">
        <f>IF(F46="","","Ch3_"&amp;TEXT(COUNT($E$2:E46),"000")&amp;"_"&amp;SUBSTITUTE(F46," ","-")&amp;"_"&amp;TEXT(E46,"0")&amp;".jpg")</f>
        <v>Ch3_044_Medium_515.jpg</v>
      </c>
    </row>
    <row r="47" spans="1:9" ht="12.75" customHeight="1" x14ac:dyDescent="0.25">
      <c r="A47" s="2"/>
      <c r="B47" s="8" t="s">
        <v>30</v>
      </c>
      <c r="C47" s="9">
        <v>1.0414000000000001</v>
      </c>
      <c r="D47" s="10">
        <v>24.832000000000001</v>
      </c>
      <c r="E47" s="11">
        <f t="shared" si="1"/>
        <v>238.448242750144</v>
      </c>
      <c r="F47" s="12" t="str">
        <f>IF(NOT(ISNUMBER(E47)),"",IF(E47&lt;Bands!$B$4,"Low",IF(E47&lt;Bands!$B$5,"Medium",IF(E47&lt;Bands!$B$6,"High","Very high"))))</f>
        <v>Low</v>
      </c>
      <c r="G47" s="12" t="str">
        <f>IF(F47="","",IFERROR(INDEX(Bands!$D$3:$D$6,MATCH(F47,Bands!$A$3:$A$6,0)),""))</f>
        <v>Pale yellow to light golden, even colour, no brown spots</v>
      </c>
      <c r="H47" s="12" t="str">
        <f>IF(F47="","",IFERROR(INDEX(Bands!$J$3:$J$6,MATCH(F47,Bands!$A$3:$A$6,0)),""))</f>
        <v>Not deep golden-brown or reddish-brown (those match higher values). Avoid black or burnt chips.</v>
      </c>
      <c r="I47" s="12" t="str">
        <f>IF(F47="","","Ch3_"&amp;TEXT(COUNT($E$2:E47),"000")&amp;"_"&amp;SUBSTITUTE(F47," ","-")&amp;"_"&amp;TEXT(E47,"0")&amp;".jpg")</f>
        <v>Ch3_045_Low_238.jpg</v>
      </c>
    </row>
    <row r="48" spans="1:9" ht="12.75" customHeight="1" x14ac:dyDescent="0.25">
      <c r="A48" s="2"/>
      <c r="B48" s="8" t="s">
        <v>31</v>
      </c>
      <c r="C48" s="9">
        <v>1.0470999999999999</v>
      </c>
      <c r="D48" s="10">
        <v>13.930999999999999</v>
      </c>
      <c r="E48" s="11">
        <f t="shared" si="1"/>
        <v>133.04364435106487</v>
      </c>
      <c r="F48" s="12" t="str">
        <f>IF(NOT(ISNUMBER(E48)),"",IF(E48&lt;Bands!$B$4,"Low",IF(E48&lt;Bands!$B$5,"Medium",IF(E48&lt;Bands!$B$6,"High","Very high"))))</f>
        <v>Low</v>
      </c>
      <c r="G48" s="12" t="str">
        <f>IF(F48="","",IFERROR(INDEX(Bands!$D$3:$D$6,MATCH(F48,Bands!$A$3:$A$6,0)),""))</f>
        <v>Pale yellow to light golden, even colour, no brown spots</v>
      </c>
      <c r="H48" s="12" t="str">
        <f>IF(F48="","",IFERROR(INDEX(Bands!$J$3:$J$6,MATCH(F48,Bands!$A$3:$A$6,0)),""))</f>
        <v>Not deep golden-brown or reddish-brown (those match higher values). Avoid black or burnt chips.</v>
      </c>
      <c r="I48" s="12" t="str">
        <f>IF(F48="","","Ch3_"&amp;TEXT(COUNT($E$2:E48),"000")&amp;"_"&amp;SUBSTITUTE(F48," ","-")&amp;"_"&amp;TEXT(E48,"0")&amp;".jpg")</f>
        <v>Ch3_046_Low_133.jpg</v>
      </c>
    </row>
    <row r="49" spans="1:9" ht="12.75" customHeight="1" x14ac:dyDescent="0.25">
      <c r="A49" s="2"/>
      <c r="B49" s="8" t="s">
        <v>32</v>
      </c>
      <c r="C49" s="9">
        <v>1.0125999999999999</v>
      </c>
      <c r="D49" s="10">
        <v>56.247999999999998</v>
      </c>
      <c r="E49" s="11">
        <f t="shared" si="1"/>
        <v>555.48094015405889</v>
      </c>
      <c r="F49" s="12" t="str">
        <f>IF(NOT(ISNUMBER(E49)),"",IF(E49&lt;Bands!$B$4,"Low",IF(E49&lt;Bands!$B$5,"Medium",IF(E49&lt;Bands!$B$6,"High","Very high"))))</f>
        <v>Medium</v>
      </c>
      <c r="G49" s="12" t="str">
        <f>IF(F49="","",IFERROR(INDEX(Bands!$D$3:$D$6,MATCH(F49,Bands!$A$3:$A$6,0)),""))</f>
        <v>Golden yellow with light brown at some edges or small spots</v>
      </c>
      <c r="H49" s="12" t="str">
        <f>IF(F49="","",IFERROR(INDEX(Bands!$J$3:$J$6,MATCH(F49,Bands!$A$3:$A$6,0)),""))</f>
        <v>Not pale yellow (matches a low value) and not deep reddish-brown (matches a high value). Avoid black or burnt chips.</v>
      </c>
      <c r="I49" s="12" t="str">
        <f>IF(F49="","","Ch3_"&amp;TEXT(COUNT($E$2:E49),"000")&amp;"_"&amp;SUBSTITUTE(F49," ","-")&amp;"_"&amp;TEXT(E49,"0")&amp;".jpg")</f>
        <v>Ch3_047_Medium_555.jpg</v>
      </c>
    </row>
    <row r="50" spans="1:9" ht="12.75" customHeight="1" x14ac:dyDescent="0.25">
      <c r="A50" s="2"/>
      <c r="B50" s="8" t="s">
        <v>33</v>
      </c>
      <c r="C50" s="9">
        <v>0.98809999999999998</v>
      </c>
      <c r="D50" s="10">
        <v>41.917000000000002</v>
      </c>
      <c r="E50" s="11">
        <f t="shared" si="1"/>
        <v>424.21819653881187</v>
      </c>
      <c r="F50" s="12" t="str">
        <f>IF(NOT(ISNUMBER(E50)),"",IF(E50&lt;Bands!$B$4,"Low",IF(E50&lt;Bands!$B$5,"Medium",IF(E50&lt;Bands!$B$6,"High","Very high"))))</f>
        <v>Low</v>
      </c>
      <c r="G50" s="12" t="str">
        <f>IF(F50="","",IFERROR(INDEX(Bands!$D$3:$D$6,MATCH(F50,Bands!$A$3:$A$6,0)),""))</f>
        <v>Pale yellow to light golden, even colour, no brown spots</v>
      </c>
      <c r="H50" s="12" t="str">
        <f>IF(F50="","",IFERROR(INDEX(Bands!$J$3:$J$6,MATCH(F50,Bands!$A$3:$A$6,0)),""))</f>
        <v>Not deep golden-brown or reddish-brown (those match higher values). Avoid black or burnt chips.</v>
      </c>
      <c r="I50" s="12" t="str">
        <f>IF(F50="","","Ch3_"&amp;TEXT(COUNT($E$2:E50),"000")&amp;"_"&amp;SUBSTITUTE(F50," ","-")&amp;"_"&amp;TEXT(E50,"0")&amp;".jpg")</f>
        <v>Ch3_048_Low_424.jpg</v>
      </c>
    </row>
    <row r="51" spans="1:9" ht="12.75" customHeight="1" x14ac:dyDescent="0.25">
      <c r="C51" s="9"/>
      <c r="D51" s="9"/>
      <c r="E51" s="11"/>
    </row>
    <row r="52" spans="1:9" ht="12.75" customHeight="1" x14ac:dyDescent="0.25">
      <c r="A52" s="2" t="s">
        <v>35</v>
      </c>
      <c r="B52" s="8" t="s">
        <v>10</v>
      </c>
      <c r="C52" s="9">
        <v>1.03</v>
      </c>
      <c r="D52" s="10">
        <v>84.688999999999993</v>
      </c>
      <c r="E52" s="11">
        <f t="shared" ref="E52:E81" si="2">D52*10/C52</f>
        <v>822.22330097087365</v>
      </c>
      <c r="F52" s="12" t="str">
        <f>IF(NOT(ISNUMBER(E52)),"",IF(E52&lt;Bands!$B$4,"Low",IF(E52&lt;Bands!$B$5,"Medium",IF(E52&lt;Bands!$B$6,"High","Very high"))))</f>
        <v>Medium</v>
      </c>
      <c r="G52" s="12" t="str">
        <f>IF(F52="","",IFERROR(INDEX(Bands!$D$3:$D$6,MATCH(F52,Bands!$A$3:$A$6,0)),""))</f>
        <v>Golden yellow with light brown at some edges or small spots</v>
      </c>
      <c r="H52" s="12" t="str">
        <f>IF(F52="","",IFERROR(INDEX(Bands!$J$3:$J$6,MATCH(F52,Bands!$A$3:$A$6,0)),""))</f>
        <v>Not pale yellow (matches a low value) and not deep reddish-brown (matches a high value). Avoid black or burnt chips.</v>
      </c>
      <c r="I52" s="12" t="str">
        <f>IF(F52="","","Ch3_"&amp;TEXT(COUNT($E$2:E52),"000")&amp;"_"&amp;SUBSTITUTE(F52," ","-")&amp;"_"&amp;TEXT(E52,"0")&amp;".jpg")</f>
        <v>Ch3_049_Medium_822.jpg</v>
      </c>
    </row>
    <row r="53" spans="1:9" ht="12.75" customHeight="1" x14ac:dyDescent="0.25">
      <c r="A53" s="2"/>
      <c r="B53" s="8" t="s">
        <v>11</v>
      </c>
      <c r="C53" s="9">
        <v>1.0039</v>
      </c>
      <c r="D53" s="10">
        <v>63.338999999999999</v>
      </c>
      <c r="E53" s="11">
        <f t="shared" si="2"/>
        <v>630.92937543580035</v>
      </c>
      <c r="F53" s="12" t="str">
        <f>IF(NOT(ISNUMBER(E53)),"",IF(E53&lt;Bands!$B$4,"Low",IF(E53&lt;Bands!$B$5,"Medium",IF(E53&lt;Bands!$B$6,"High","Very high"))))</f>
        <v>Medium</v>
      </c>
      <c r="G53" s="12" t="str">
        <f>IF(F53="","",IFERROR(INDEX(Bands!$D$3:$D$6,MATCH(F53,Bands!$A$3:$A$6,0)),""))</f>
        <v>Golden yellow with light brown at some edges or small spots</v>
      </c>
      <c r="H53" s="12" t="str">
        <f>IF(F53="","",IFERROR(INDEX(Bands!$J$3:$J$6,MATCH(F53,Bands!$A$3:$A$6,0)),""))</f>
        <v>Not pale yellow (matches a low value) and not deep reddish-brown (matches a high value). Avoid black or burnt chips.</v>
      </c>
      <c r="I53" s="12" t="str">
        <f>IF(F53="","","Ch3_"&amp;TEXT(COUNT($E$2:E53),"000")&amp;"_"&amp;SUBSTITUTE(F53," ","-")&amp;"_"&amp;TEXT(E53,"0")&amp;".jpg")</f>
        <v>Ch3_050_Medium_631.jpg</v>
      </c>
    </row>
    <row r="54" spans="1:9" ht="12.75" customHeight="1" x14ac:dyDescent="0.25">
      <c r="A54" s="2"/>
      <c r="B54" s="8" t="s">
        <v>12</v>
      </c>
      <c r="C54" s="9">
        <v>0.96150000000000002</v>
      </c>
      <c r="D54" s="10">
        <v>141.608</v>
      </c>
      <c r="E54" s="11">
        <f t="shared" si="2"/>
        <v>1472.7821112844513</v>
      </c>
      <c r="F54" s="12" t="str">
        <f>IF(NOT(ISNUMBER(E54)),"",IF(E54&lt;Bands!$B$4,"Low",IF(E54&lt;Bands!$B$5,"Medium",IF(E54&lt;Bands!$B$6,"High","Very high"))))</f>
        <v>High</v>
      </c>
      <c r="G54" s="12" t="str">
        <f>IF(F54="","",IFERROR(INDEX(Bands!$D$3:$D$6,MATCH(F54,Bands!$A$3:$A$6,0)),""))</f>
        <v>Golden-brown with a reddish tint, brown edges, somewhat uneven</v>
      </c>
      <c r="H54" s="12" t="str">
        <f>IF(F54="","",IFERROR(INDEX(Bands!$J$3:$J$6,MATCH(F54,Bands!$A$3:$A$6,0)),""))</f>
        <v>Not pale yellow, which would match a low value. Not black or burnt, since very dark chips can have lower acrylamide.</v>
      </c>
      <c r="I54" s="12" t="str">
        <f>IF(F54="","","Ch3_"&amp;TEXT(COUNT($E$2:E54),"000")&amp;"_"&amp;SUBSTITUTE(F54," ","-")&amp;"_"&amp;TEXT(E54,"0")&amp;".jpg")</f>
        <v>Ch3_051_High_1473.jpg</v>
      </c>
    </row>
    <row r="55" spans="1:9" ht="12.75" customHeight="1" x14ac:dyDescent="0.25">
      <c r="A55" s="2"/>
      <c r="B55" s="8" t="s">
        <v>13</v>
      </c>
      <c r="C55" s="9">
        <v>0.98399999999999999</v>
      </c>
      <c r="D55" s="10">
        <v>88.891999999999996</v>
      </c>
      <c r="E55" s="11">
        <f t="shared" si="2"/>
        <v>903.3739837398374</v>
      </c>
      <c r="F55" s="12" t="str">
        <f>IF(NOT(ISNUMBER(E55)),"",IF(E55&lt;Bands!$B$4,"Low",IF(E55&lt;Bands!$B$5,"Medium",IF(E55&lt;Bands!$B$6,"High","Very high"))))</f>
        <v>Medium</v>
      </c>
      <c r="G55" s="12" t="str">
        <f>IF(F55="","",IFERROR(INDEX(Bands!$D$3:$D$6,MATCH(F55,Bands!$A$3:$A$6,0)),""))</f>
        <v>Golden yellow with light brown at some edges or small spots</v>
      </c>
      <c r="H55" s="12" t="str">
        <f>IF(F55="","",IFERROR(INDEX(Bands!$J$3:$J$6,MATCH(F55,Bands!$A$3:$A$6,0)),""))</f>
        <v>Not pale yellow (matches a low value) and not deep reddish-brown (matches a high value). Avoid black or burnt chips.</v>
      </c>
      <c r="I55" s="12" t="str">
        <f>IF(F55="","","Ch3_"&amp;TEXT(COUNT($E$2:E55),"000")&amp;"_"&amp;SUBSTITUTE(F55," ","-")&amp;"_"&amp;TEXT(E55,"0")&amp;".jpg")</f>
        <v>Ch3_052_Medium_903.jpg</v>
      </c>
    </row>
    <row r="56" spans="1:9" ht="12.75" customHeight="1" x14ac:dyDescent="0.25">
      <c r="A56" s="2"/>
      <c r="B56" s="8" t="s">
        <v>14</v>
      </c>
      <c r="C56" s="9">
        <v>0.97319999999999995</v>
      </c>
      <c r="D56" s="10">
        <v>32.793999999999997</v>
      </c>
      <c r="E56" s="11">
        <f t="shared" si="2"/>
        <v>336.97081792026302</v>
      </c>
      <c r="F56" s="12" t="str">
        <f>IF(NOT(ISNUMBER(E56)),"",IF(E56&lt;Bands!$B$4,"Low",IF(E56&lt;Bands!$B$5,"Medium",IF(E56&lt;Bands!$B$6,"High","Very high"))))</f>
        <v>Low</v>
      </c>
      <c r="G56" s="12" t="str">
        <f>IF(F56="","",IFERROR(INDEX(Bands!$D$3:$D$6,MATCH(F56,Bands!$A$3:$A$6,0)),""))</f>
        <v>Pale yellow to light golden, even colour, no brown spots</v>
      </c>
      <c r="H56" s="12" t="str">
        <f>IF(F56="","",IFERROR(INDEX(Bands!$J$3:$J$6,MATCH(F56,Bands!$A$3:$A$6,0)),""))</f>
        <v>Not deep golden-brown or reddish-brown (those match higher values). Avoid black or burnt chips.</v>
      </c>
      <c r="I56" s="12" t="str">
        <f>IF(F56="","","Ch3_"&amp;TEXT(COUNT($E$2:E56),"000")&amp;"_"&amp;SUBSTITUTE(F56," ","-")&amp;"_"&amp;TEXT(E56,"0")&amp;".jpg")</f>
        <v>Ch3_053_Low_337.jpg</v>
      </c>
    </row>
    <row r="57" spans="1:9" ht="12.75" customHeight="1" x14ac:dyDescent="0.25">
      <c r="A57" s="2"/>
      <c r="B57" s="8" t="s">
        <v>15</v>
      </c>
      <c r="C57" s="9">
        <v>0.9798</v>
      </c>
      <c r="D57" s="10">
        <v>42.667999999999999</v>
      </c>
      <c r="E57" s="11">
        <f t="shared" si="2"/>
        <v>435.47662788324146</v>
      </c>
      <c r="F57" s="12" t="str">
        <f>IF(NOT(ISNUMBER(E57)),"",IF(E57&lt;Bands!$B$4,"Low",IF(E57&lt;Bands!$B$5,"Medium",IF(E57&lt;Bands!$B$6,"High","Very high"))))</f>
        <v>Low</v>
      </c>
      <c r="G57" s="12" t="str">
        <f>IF(F57="","",IFERROR(INDEX(Bands!$D$3:$D$6,MATCH(F57,Bands!$A$3:$A$6,0)),""))</f>
        <v>Pale yellow to light golden, even colour, no brown spots</v>
      </c>
      <c r="H57" s="12" t="str">
        <f>IF(F57="","",IFERROR(INDEX(Bands!$J$3:$J$6,MATCH(F57,Bands!$A$3:$A$6,0)),""))</f>
        <v>Not deep golden-brown or reddish-brown (those match higher values). Avoid black or burnt chips.</v>
      </c>
      <c r="I57" s="12" t="str">
        <f>IF(F57="","","Ch3_"&amp;TEXT(COUNT($E$2:E57),"000")&amp;"_"&amp;SUBSTITUTE(F57," ","-")&amp;"_"&amp;TEXT(E57,"0")&amp;".jpg")</f>
        <v>Ch3_054_Low_435.jpg</v>
      </c>
    </row>
    <row r="58" spans="1:9" ht="12.75" customHeight="1" x14ac:dyDescent="0.25">
      <c r="A58" s="2"/>
      <c r="B58" s="8" t="s">
        <v>16</v>
      </c>
      <c r="C58" s="9">
        <v>0.98319999999999996</v>
      </c>
      <c r="D58" s="10">
        <v>55.679000000000002</v>
      </c>
      <c r="E58" s="11">
        <f t="shared" si="2"/>
        <v>566.30390561432057</v>
      </c>
      <c r="F58" s="12" t="str">
        <f>IF(NOT(ISNUMBER(E58)),"",IF(E58&lt;Bands!$B$4,"Low",IF(E58&lt;Bands!$B$5,"Medium",IF(E58&lt;Bands!$B$6,"High","Very high"))))</f>
        <v>Medium</v>
      </c>
      <c r="G58" s="12" t="str">
        <f>IF(F58="","",IFERROR(INDEX(Bands!$D$3:$D$6,MATCH(F58,Bands!$A$3:$A$6,0)),""))</f>
        <v>Golden yellow with light brown at some edges or small spots</v>
      </c>
      <c r="H58" s="12" t="str">
        <f>IF(F58="","",IFERROR(INDEX(Bands!$J$3:$J$6,MATCH(F58,Bands!$A$3:$A$6,0)),""))</f>
        <v>Not pale yellow (matches a low value) and not deep reddish-brown (matches a high value). Avoid black or burnt chips.</v>
      </c>
      <c r="I58" s="12" t="str">
        <f>IF(F58="","","Ch3_"&amp;TEXT(COUNT($E$2:E58),"000")&amp;"_"&amp;SUBSTITUTE(F58," ","-")&amp;"_"&amp;TEXT(E58,"0")&amp;".jpg")</f>
        <v>Ch3_055_Medium_566.jpg</v>
      </c>
    </row>
    <row r="59" spans="1:9" ht="12.75" customHeight="1" x14ac:dyDescent="0.25">
      <c r="A59" s="2"/>
      <c r="B59" s="8" t="s">
        <v>17</v>
      </c>
      <c r="C59" s="9">
        <v>0.99519999999999997</v>
      </c>
      <c r="D59" s="10">
        <v>56.965000000000003</v>
      </c>
      <c r="E59" s="11">
        <f t="shared" si="2"/>
        <v>572.39750803858533</v>
      </c>
      <c r="F59" s="12" t="str">
        <f>IF(NOT(ISNUMBER(E59)),"",IF(E59&lt;Bands!$B$4,"Low",IF(E59&lt;Bands!$B$5,"Medium",IF(E59&lt;Bands!$B$6,"High","Very high"))))</f>
        <v>Medium</v>
      </c>
      <c r="G59" s="12" t="str">
        <f>IF(F59="","",IFERROR(INDEX(Bands!$D$3:$D$6,MATCH(F59,Bands!$A$3:$A$6,0)),""))</f>
        <v>Golden yellow with light brown at some edges or small spots</v>
      </c>
      <c r="H59" s="12" t="str">
        <f>IF(F59="","",IFERROR(INDEX(Bands!$J$3:$J$6,MATCH(F59,Bands!$A$3:$A$6,0)),""))</f>
        <v>Not pale yellow (matches a low value) and not deep reddish-brown (matches a high value). Avoid black or burnt chips.</v>
      </c>
      <c r="I59" s="12" t="str">
        <f>IF(F59="","","Ch3_"&amp;TEXT(COUNT($E$2:E59),"000")&amp;"_"&amp;SUBSTITUTE(F59," ","-")&amp;"_"&amp;TEXT(E59,"0")&amp;".jpg")</f>
        <v>Ch3_056_Medium_572.jpg</v>
      </c>
    </row>
    <row r="60" spans="1:9" ht="12.75" customHeight="1" x14ac:dyDescent="0.25">
      <c r="A60" s="2"/>
      <c r="B60" s="8" t="s">
        <v>18</v>
      </c>
      <c r="C60" s="9">
        <v>1.0154000000000001</v>
      </c>
      <c r="D60" s="10">
        <v>150.898</v>
      </c>
      <c r="E60" s="11">
        <f t="shared" si="2"/>
        <v>1486.0941500886349</v>
      </c>
      <c r="F60" s="12" t="str">
        <f>IF(NOT(ISNUMBER(E60)),"",IF(E60&lt;Bands!$B$4,"Low",IF(E60&lt;Bands!$B$5,"Medium",IF(E60&lt;Bands!$B$6,"High","Very high"))))</f>
        <v>High</v>
      </c>
      <c r="G60" s="12" t="str">
        <f>IF(F60="","",IFERROR(INDEX(Bands!$D$3:$D$6,MATCH(F60,Bands!$A$3:$A$6,0)),""))</f>
        <v>Golden-brown with a reddish tint, brown edges, somewhat uneven</v>
      </c>
      <c r="H60" s="12" t="str">
        <f>IF(F60="","",IFERROR(INDEX(Bands!$J$3:$J$6,MATCH(F60,Bands!$A$3:$A$6,0)),""))</f>
        <v>Not pale yellow, which would match a low value. Not black or burnt, since very dark chips can have lower acrylamide.</v>
      </c>
      <c r="I60" s="12" t="str">
        <f>IF(F60="","","Ch3_"&amp;TEXT(COUNT($E$2:E60),"000")&amp;"_"&amp;SUBSTITUTE(F60," ","-")&amp;"_"&amp;TEXT(E60,"0")&amp;".jpg")</f>
        <v>Ch3_057_High_1486.jpg</v>
      </c>
    </row>
    <row r="61" spans="1:9" ht="12.75" customHeight="1" x14ac:dyDescent="0.25">
      <c r="A61" s="2"/>
      <c r="B61" s="8" t="s">
        <v>19</v>
      </c>
      <c r="C61" s="9">
        <v>0.98340000000000005</v>
      </c>
      <c r="D61" s="10">
        <v>51.029000000000003</v>
      </c>
      <c r="E61" s="11">
        <f t="shared" si="2"/>
        <v>518.90380313199103</v>
      </c>
      <c r="F61" s="12" t="str">
        <f>IF(NOT(ISNUMBER(E61)),"",IF(E61&lt;Bands!$B$4,"Low",IF(E61&lt;Bands!$B$5,"Medium",IF(E61&lt;Bands!$B$6,"High","Very high"))))</f>
        <v>Medium</v>
      </c>
      <c r="G61" s="12" t="str">
        <f>IF(F61="","",IFERROR(INDEX(Bands!$D$3:$D$6,MATCH(F61,Bands!$A$3:$A$6,0)),""))</f>
        <v>Golden yellow with light brown at some edges or small spots</v>
      </c>
      <c r="H61" s="12" t="str">
        <f>IF(F61="","",IFERROR(INDEX(Bands!$J$3:$J$6,MATCH(F61,Bands!$A$3:$A$6,0)),""))</f>
        <v>Not pale yellow (matches a low value) and not deep reddish-brown (matches a high value). Avoid black or burnt chips.</v>
      </c>
      <c r="I61" s="12" t="str">
        <f>IF(F61="","","Ch3_"&amp;TEXT(COUNT($E$2:E61),"000")&amp;"_"&amp;SUBSTITUTE(F61," ","-")&amp;"_"&amp;TEXT(E61,"0")&amp;".jpg")</f>
        <v>Ch3_058_Medium_519.jpg</v>
      </c>
    </row>
    <row r="62" spans="1:9" ht="12.75" customHeight="1" x14ac:dyDescent="0.25">
      <c r="A62" s="2"/>
      <c r="B62" s="8" t="s">
        <v>20</v>
      </c>
      <c r="C62" s="9">
        <v>1.0383</v>
      </c>
      <c r="D62" s="10">
        <v>94.411000000000001</v>
      </c>
      <c r="E62" s="11">
        <f t="shared" si="2"/>
        <v>909.28440720408366</v>
      </c>
      <c r="F62" s="12" t="str">
        <f>IF(NOT(ISNUMBER(E62)),"",IF(E62&lt;Bands!$B$4,"Low",IF(E62&lt;Bands!$B$5,"Medium",IF(E62&lt;Bands!$B$6,"High","Very high"))))</f>
        <v>Medium</v>
      </c>
      <c r="G62" s="12" t="str">
        <f>IF(F62="","",IFERROR(INDEX(Bands!$D$3:$D$6,MATCH(F62,Bands!$A$3:$A$6,0)),""))</f>
        <v>Golden yellow with light brown at some edges or small spots</v>
      </c>
      <c r="H62" s="12" t="str">
        <f>IF(F62="","",IFERROR(INDEX(Bands!$J$3:$J$6,MATCH(F62,Bands!$A$3:$A$6,0)),""))</f>
        <v>Not pale yellow (matches a low value) and not deep reddish-brown (matches a high value). Avoid black or burnt chips.</v>
      </c>
      <c r="I62" s="12" t="str">
        <f>IF(F62="","","Ch3_"&amp;TEXT(COUNT($E$2:E62),"000")&amp;"_"&amp;SUBSTITUTE(F62," ","-")&amp;"_"&amp;TEXT(E62,"0")&amp;".jpg")</f>
        <v>Ch3_059_Medium_909.jpg</v>
      </c>
    </row>
    <row r="63" spans="1:9" ht="12.75" customHeight="1" x14ac:dyDescent="0.25">
      <c r="A63" s="2"/>
      <c r="B63" s="8" t="s">
        <v>21</v>
      </c>
      <c r="C63" s="9">
        <v>1.0079</v>
      </c>
      <c r="D63" s="10">
        <v>39.966999999999999</v>
      </c>
      <c r="E63" s="11">
        <f t="shared" si="2"/>
        <v>396.53735489631902</v>
      </c>
      <c r="F63" s="12" t="str">
        <f>IF(NOT(ISNUMBER(E63)),"",IF(E63&lt;Bands!$B$4,"Low",IF(E63&lt;Bands!$B$5,"Medium",IF(E63&lt;Bands!$B$6,"High","Very high"))))</f>
        <v>Low</v>
      </c>
      <c r="G63" s="12" t="str">
        <f>IF(F63="","",IFERROR(INDEX(Bands!$D$3:$D$6,MATCH(F63,Bands!$A$3:$A$6,0)),""))</f>
        <v>Pale yellow to light golden, even colour, no brown spots</v>
      </c>
      <c r="H63" s="12" t="str">
        <f>IF(F63="","",IFERROR(INDEX(Bands!$J$3:$J$6,MATCH(F63,Bands!$A$3:$A$6,0)),""))</f>
        <v>Not deep golden-brown or reddish-brown (those match higher values). Avoid black or burnt chips.</v>
      </c>
      <c r="I63" s="12" t="str">
        <f>IF(F63="","","Ch3_"&amp;TEXT(COUNT($E$2:E63),"000")&amp;"_"&amp;SUBSTITUTE(F63," ","-")&amp;"_"&amp;TEXT(E63,"0")&amp;".jpg")</f>
        <v>Ch3_060_Low_397.jpg</v>
      </c>
    </row>
    <row r="64" spans="1:9" ht="12.75" customHeight="1" x14ac:dyDescent="0.25">
      <c r="A64" s="2"/>
      <c r="B64" s="8" t="s">
        <v>22</v>
      </c>
      <c r="C64" s="9">
        <v>0.96009999999999995</v>
      </c>
      <c r="D64" s="10">
        <v>68.745999999999995</v>
      </c>
      <c r="E64" s="11">
        <f t="shared" si="2"/>
        <v>716.02958025205703</v>
      </c>
      <c r="F64" s="12" t="str">
        <f>IF(NOT(ISNUMBER(E64)),"",IF(E64&lt;Bands!$B$4,"Low",IF(E64&lt;Bands!$B$5,"Medium",IF(E64&lt;Bands!$B$6,"High","Very high"))))</f>
        <v>Medium</v>
      </c>
      <c r="G64" s="12" t="str">
        <f>IF(F64="","",IFERROR(INDEX(Bands!$D$3:$D$6,MATCH(F64,Bands!$A$3:$A$6,0)),""))</f>
        <v>Golden yellow with light brown at some edges or small spots</v>
      </c>
      <c r="H64" s="12" t="str">
        <f>IF(F64="","",IFERROR(INDEX(Bands!$J$3:$J$6,MATCH(F64,Bands!$A$3:$A$6,0)),""))</f>
        <v>Not pale yellow (matches a low value) and not deep reddish-brown (matches a high value). Avoid black or burnt chips.</v>
      </c>
      <c r="I64" s="12" t="str">
        <f>IF(F64="","","Ch3_"&amp;TEXT(COUNT($E$2:E64),"000")&amp;"_"&amp;SUBSTITUTE(F64," ","-")&amp;"_"&amp;TEXT(E64,"0")&amp;".jpg")</f>
        <v>Ch3_061_Medium_716.jpg</v>
      </c>
    </row>
    <row r="65" spans="1:9" ht="12.75" customHeight="1" x14ac:dyDescent="0.25">
      <c r="A65" s="2"/>
      <c r="B65" s="8" t="s">
        <v>23</v>
      </c>
      <c r="C65" s="9">
        <v>1.0138</v>
      </c>
      <c r="D65" s="10">
        <v>202.18199999999999</v>
      </c>
      <c r="E65" s="11">
        <f t="shared" si="2"/>
        <v>1994.2986782402841</v>
      </c>
      <c r="F65" s="12" t="str">
        <f>IF(NOT(ISNUMBER(E65)),"",IF(E65&lt;Bands!$B$4,"Low",IF(E65&lt;Bands!$B$5,"Medium",IF(E65&lt;Bands!$B$6,"High","Very high"))))</f>
        <v>High</v>
      </c>
      <c r="G65" s="12" t="str">
        <f>IF(F65="","",IFERROR(INDEX(Bands!$D$3:$D$6,MATCH(F65,Bands!$A$3:$A$6,0)),""))</f>
        <v>Golden-brown with a reddish tint, brown edges, somewhat uneven</v>
      </c>
      <c r="H65" s="12" t="str">
        <f>IF(F65="","",IFERROR(INDEX(Bands!$J$3:$J$6,MATCH(F65,Bands!$A$3:$A$6,0)),""))</f>
        <v>Not pale yellow, which would match a low value. Not black or burnt, since very dark chips can have lower acrylamide.</v>
      </c>
      <c r="I65" s="12" t="str">
        <f>IF(F65="","","Ch3_"&amp;TEXT(COUNT($E$2:E65),"000")&amp;"_"&amp;SUBSTITUTE(F65," ","-")&amp;"_"&amp;TEXT(E65,"0")&amp;".jpg")</f>
        <v>Ch3_062_High_1994.jpg</v>
      </c>
    </row>
    <row r="66" spans="1:9" ht="12.75" customHeight="1" x14ac:dyDescent="0.25">
      <c r="A66" s="2"/>
      <c r="B66" s="8" t="s">
        <v>24</v>
      </c>
      <c r="C66" s="9">
        <v>1.0336000000000001</v>
      </c>
      <c r="D66" s="10">
        <v>136.089</v>
      </c>
      <c r="E66" s="11">
        <f t="shared" si="2"/>
        <v>1316.6505417956655</v>
      </c>
      <c r="F66" s="12" t="str">
        <f>IF(NOT(ISNUMBER(E66)),"",IF(E66&lt;Bands!$B$4,"Low",IF(E66&lt;Bands!$B$5,"Medium",IF(E66&lt;Bands!$B$6,"High","Very high"))))</f>
        <v>High</v>
      </c>
      <c r="G66" s="12" t="str">
        <f>IF(F66="","",IFERROR(INDEX(Bands!$D$3:$D$6,MATCH(F66,Bands!$A$3:$A$6,0)),""))</f>
        <v>Golden-brown with a reddish tint, brown edges, somewhat uneven</v>
      </c>
      <c r="H66" s="12" t="str">
        <f>IF(F66="","",IFERROR(INDEX(Bands!$J$3:$J$6,MATCH(F66,Bands!$A$3:$A$6,0)),""))</f>
        <v>Not pale yellow, which would match a low value. Not black or burnt, since very dark chips can have lower acrylamide.</v>
      </c>
      <c r="I66" s="12" t="str">
        <f>IF(F66="","","Ch3_"&amp;TEXT(COUNT($E$2:E66),"000")&amp;"_"&amp;SUBSTITUTE(F66," ","-")&amp;"_"&amp;TEXT(E66,"0")&amp;".jpg")</f>
        <v>Ch3_063_High_1317.jpg</v>
      </c>
    </row>
    <row r="67" spans="1:9" ht="12.75" customHeight="1" x14ac:dyDescent="0.25">
      <c r="A67" s="2"/>
      <c r="B67" s="8" t="s">
        <v>25</v>
      </c>
      <c r="C67" s="9">
        <v>0.99309999999999998</v>
      </c>
      <c r="D67" s="10">
        <v>93.358999999999995</v>
      </c>
      <c r="E67" s="11">
        <f t="shared" si="2"/>
        <v>940.07652804350005</v>
      </c>
      <c r="F67" s="12" t="str">
        <f>IF(NOT(ISNUMBER(E67)),"",IF(E67&lt;Bands!$B$4,"Low",IF(E67&lt;Bands!$B$5,"Medium",IF(E67&lt;Bands!$B$6,"High","Very high"))))</f>
        <v>Medium</v>
      </c>
      <c r="G67" s="12" t="str">
        <f>IF(F67="","",IFERROR(INDEX(Bands!$D$3:$D$6,MATCH(F67,Bands!$A$3:$A$6,0)),""))</f>
        <v>Golden yellow with light brown at some edges or small spots</v>
      </c>
      <c r="H67" s="12" t="str">
        <f>IF(F67="","",IFERROR(INDEX(Bands!$J$3:$J$6,MATCH(F67,Bands!$A$3:$A$6,0)),""))</f>
        <v>Not pale yellow (matches a low value) and not deep reddish-brown (matches a high value). Avoid black or burnt chips.</v>
      </c>
      <c r="I67" s="12" t="str">
        <f>IF(F67="","","Ch3_"&amp;TEXT(COUNT($E$2:E67),"000")&amp;"_"&amp;SUBSTITUTE(F67," ","-")&amp;"_"&amp;TEXT(E67,"0")&amp;".jpg")</f>
        <v>Ch3_064_Medium_940.jpg</v>
      </c>
    </row>
    <row r="68" spans="1:9" ht="12.75" customHeight="1" x14ac:dyDescent="0.25">
      <c r="A68" s="2"/>
      <c r="B68" s="8" t="s">
        <v>26</v>
      </c>
      <c r="C68" s="9">
        <v>0.97070000000000001</v>
      </c>
      <c r="D68" s="10">
        <v>51.158999999999999</v>
      </c>
      <c r="E68" s="11">
        <f t="shared" si="2"/>
        <v>527.03203873493351</v>
      </c>
      <c r="F68" s="12" t="str">
        <f>IF(NOT(ISNUMBER(E68)),"",IF(E68&lt;Bands!$B$4,"Low",IF(E68&lt;Bands!$B$5,"Medium",IF(E68&lt;Bands!$B$6,"High","Very high"))))</f>
        <v>Medium</v>
      </c>
      <c r="G68" s="12" t="str">
        <f>IF(F68="","",IFERROR(INDEX(Bands!$D$3:$D$6,MATCH(F68,Bands!$A$3:$A$6,0)),""))</f>
        <v>Golden yellow with light brown at some edges or small spots</v>
      </c>
      <c r="H68" s="12" t="str">
        <f>IF(F68="","",IFERROR(INDEX(Bands!$J$3:$J$6,MATCH(F68,Bands!$A$3:$A$6,0)),""))</f>
        <v>Not pale yellow (matches a low value) and not deep reddish-brown (matches a high value). Avoid black or burnt chips.</v>
      </c>
      <c r="I68" s="12" t="str">
        <f>IF(F68="","","Ch3_"&amp;TEXT(COUNT($E$2:E68),"000")&amp;"_"&amp;SUBSTITUTE(F68," ","-")&amp;"_"&amp;TEXT(E68,"0")&amp;".jpg")</f>
        <v>Ch3_065_Medium_527.jpg</v>
      </c>
    </row>
    <row r="69" spans="1:9" ht="12.75" customHeight="1" x14ac:dyDescent="0.25">
      <c r="A69" s="2"/>
      <c r="B69" s="8" t="s">
        <v>27</v>
      </c>
      <c r="C69" s="9">
        <v>1.0162</v>
      </c>
      <c r="D69" s="10">
        <v>80.549000000000007</v>
      </c>
      <c r="E69" s="11">
        <f t="shared" si="2"/>
        <v>792.64908482582166</v>
      </c>
      <c r="F69" s="12" t="str">
        <f>IF(NOT(ISNUMBER(E69)),"",IF(E69&lt;Bands!$B$4,"Low",IF(E69&lt;Bands!$B$5,"Medium",IF(E69&lt;Bands!$B$6,"High","Very high"))))</f>
        <v>Medium</v>
      </c>
      <c r="G69" s="12" t="str">
        <f>IF(F69="","",IFERROR(INDEX(Bands!$D$3:$D$6,MATCH(F69,Bands!$A$3:$A$6,0)),""))</f>
        <v>Golden yellow with light brown at some edges or small spots</v>
      </c>
      <c r="H69" s="12" t="str">
        <f>IF(F69="","",IFERROR(INDEX(Bands!$J$3:$J$6,MATCH(F69,Bands!$A$3:$A$6,0)),""))</f>
        <v>Not pale yellow (matches a low value) and not deep reddish-brown (matches a high value). Avoid black or burnt chips.</v>
      </c>
      <c r="I69" s="12" t="str">
        <f>IF(F69="","","Ch3_"&amp;TEXT(COUNT($E$2:E69),"000")&amp;"_"&amp;SUBSTITUTE(F69," ","-")&amp;"_"&amp;TEXT(E69,"0")&amp;".jpg")</f>
        <v>Ch3_066_Medium_793.jpg</v>
      </c>
    </row>
    <row r="70" spans="1:9" ht="12.75" customHeight="1" x14ac:dyDescent="0.25">
      <c r="A70" s="2"/>
      <c r="B70" s="8" t="s">
        <v>28</v>
      </c>
      <c r="C70" s="9">
        <v>0.9788</v>
      </c>
      <c r="D70" s="10">
        <v>61.326000000000001</v>
      </c>
      <c r="E70" s="11">
        <f t="shared" si="2"/>
        <v>626.54270535349406</v>
      </c>
      <c r="F70" s="12" t="str">
        <f>IF(NOT(ISNUMBER(E70)),"",IF(E70&lt;Bands!$B$4,"Low",IF(E70&lt;Bands!$B$5,"Medium",IF(E70&lt;Bands!$B$6,"High","Very high"))))</f>
        <v>Medium</v>
      </c>
      <c r="G70" s="12" t="str">
        <f>IF(F70="","",IFERROR(INDEX(Bands!$D$3:$D$6,MATCH(F70,Bands!$A$3:$A$6,0)),""))</f>
        <v>Golden yellow with light brown at some edges or small spots</v>
      </c>
      <c r="H70" s="12" t="str">
        <f>IF(F70="","",IFERROR(INDEX(Bands!$J$3:$J$6,MATCH(F70,Bands!$A$3:$A$6,0)),""))</f>
        <v>Not pale yellow (matches a low value) and not deep reddish-brown (matches a high value). Avoid black or burnt chips.</v>
      </c>
      <c r="I70" s="12" t="str">
        <f>IF(F70="","","Ch3_"&amp;TEXT(COUNT($E$2:E70),"000")&amp;"_"&amp;SUBSTITUTE(F70," ","-")&amp;"_"&amp;TEXT(E70,"0")&amp;".jpg")</f>
        <v>Ch3_067_Medium_627.jpg</v>
      </c>
    </row>
    <row r="71" spans="1:9" ht="12.75" customHeight="1" x14ac:dyDescent="0.25">
      <c r="A71" s="2"/>
      <c r="B71" s="8" t="s">
        <v>29</v>
      </c>
      <c r="C71" s="9">
        <v>1.0005999999999999</v>
      </c>
      <c r="D71" s="10">
        <v>42.284999999999997</v>
      </c>
      <c r="E71" s="11">
        <f t="shared" si="2"/>
        <v>422.59644213471915</v>
      </c>
      <c r="F71" s="12" t="str">
        <f>IF(NOT(ISNUMBER(E71)),"",IF(E71&lt;Bands!$B$4,"Low",IF(E71&lt;Bands!$B$5,"Medium",IF(E71&lt;Bands!$B$6,"High","Very high"))))</f>
        <v>Low</v>
      </c>
      <c r="G71" s="12" t="str">
        <f>IF(F71="","",IFERROR(INDEX(Bands!$D$3:$D$6,MATCH(F71,Bands!$A$3:$A$6,0)),""))</f>
        <v>Pale yellow to light golden, even colour, no brown spots</v>
      </c>
      <c r="H71" s="12" t="str">
        <f>IF(F71="","",IFERROR(INDEX(Bands!$J$3:$J$6,MATCH(F71,Bands!$A$3:$A$6,0)),""))</f>
        <v>Not deep golden-brown or reddish-brown (those match higher values). Avoid black or burnt chips.</v>
      </c>
      <c r="I71" s="12" t="str">
        <f>IF(F71="","","Ch3_"&amp;TEXT(COUNT($E$2:E71),"000")&amp;"_"&amp;SUBSTITUTE(F71," ","-")&amp;"_"&amp;TEXT(E71,"0")&amp;".jpg")</f>
        <v>Ch3_068_Low_423.jpg</v>
      </c>
    </row>
    <row r="72" spans="1:9" ht="12.75" customHeight="1" x14ac:dyDescent="0.25">
      <c r="A72" s="2"/>
      <c r="B72" s="8" t="s">
        <v>30</v>
      </c>
      <c r="C72" s="9">
        <v>0.98740000000000006</v>
      </c>
      <c r="D72" s="10">
        <v>66.652000000000001</v>
      </c>
      <c r="E72" s="11">
        <f t="shared" si="2"/>
        <v>675.02531901964755</v>
      </c>
      <c r="F72" s="12" t="str">
        <f>IF(NOT(ISNUMBER(E72)),"",IF(E72&lt;Bands!$B$4,"Low",IF(E72&lt;Bands!$B$5,"Medium",IF(E72&lt;Bands!$B$6,"High","Very high"))))</f>
        <v>Medium</v>
      </c>
      <c r="G72" s="12" t="str">
        <f>IF(F72="","",IFERROR(INDEX(Bands!$D$3:$D$6,MATCH(F72,Bands!$A$3:$A$6,0)),""))</f>
        <v>Golden yellow with light brown at some edges or small spots</v>
      </c>
      <c r="H72" s="12" t="str">
        <f>IF(F72="","",IFERROR(INDEX(Bands!$J$3:$J$6,MATCH(F72,Bands!$A$3:$A$6,0)),""))</f>
        <v>Not pale yellow (matches a low value) and not deep reddish-brown (matches a high value). Avoid black or burnt chips.</v>
      </c>
      <c r="I72" s="12" t="str">
        <f>IF(F72="","","Ch3_"&amp;TEXT(COUNT($E$2:E72),"000")&amp;"_"&amp;SUBSTITUTE(F72," ","-")&amp;"_"&amp;TEXT(E72,"0")&amp;".jpg")</f>
        <v>Ch3_069_Medium_675.jpg</v>
      </c>
    </row>
    <row r="73" spans="1:9" ht="12.75" customHeight="1" x14ac:dyDescent="0.25">
      <c r="A73" s="2"/>
      <c r="B73" s="8" t="s">
        <v>31</v>
      </c>
      <c r="C73" s="9">
        <v>0.97870000000000001</v>
      </c>
      <c r="D73" s="10">
        <v>30.388999999999999</v>
      </c>
      <c r="E73" s="11">
        <f t="shared" si="2"/>
        <v>310.50372943700825</v>
      </c>
      <c r="F73" s="12" t="str">
        <f>IF(NOT(ISNUMBER(E73)),"",IF(E73&lt;Bands!$B$4,"Low",IF(E73&lt;Bands!$B$5,"Medium",IF(E73&lt;Bands!$B$6,"High","Very high"))))</f>
        <v>Low</v>
      </c>
      <c r="G73" s="12" t="str">
        <f>IF(F73="","",IFERROR(INDEX(Bands!$D$3:$D$6,MATCH(F73,Bands!$A$3:$A$6,0)),""))</f>
        <v>Pale yellow to light golden, even colour, no brown spots</v>
      </c>
      <c r="H73" s="12" t="str">
        <f>IF(F73="","",IFERROR(INDEX(Bands!$J$3:$J$6,MATCH(F73,Bands!$A$3:$A$6,0)),""))</f>
        <v>Not deep golden-brown or reddish-brown (those match higher values). Avoid black or burnt chips.</v>
      </c>
      <c r="I73" s="12" t="str">
        <f>IF(F73="","","Ch3_"&amp;TEXT(COUNT($E$2:E73),"000")&amp;"_"&amp;SUBSTITUTE(F73," ","-")&amp;"_"&amp;TEXT(E73,"0")&amp;".jpg")</f>
        <v>Ch3_070_Low_311.jpg</v>
      </c>
    </row>
    <row r="74" spans="1:9" ht="12.75" customHeight="1" x14ac:dyDescent="0.25">
      <c r="A74" s="2"/>
      <c r="B74" s="8" t="s">
        <v>32</v>
      </c>
      <c r="C74" s="9">
        <v>0.98119999999999996</v>
      </c>
      <c r="D74" s="10">
        <v>82.203999999999994</v>
      </c>
      <c r="E74" s="11">
        <f t="shared" si="2"/>
        <v>837.79046066041576</v>
      </c>
      <c r="F74" s="12" t="str">
        <f>IF(NOT(ISNUMBER(E74)),"",IF(E74&lt;Bands!$B$4,"Low",IF(E74&lt;Bands!$B$5,"Medium",IF(E74&lt;Bands!$B$6,"High","Very high"))))</f>
        <v>Medium</v>
      </c>
      <c r="G74" s="12" t="str">
        <f>IF(F74="","",IFERROR(INDEX(Bands!$D$3:$D$6,MATCH(F74,Bands!$A$3:$A$6,0)),""))</f>
        <v>Golden yellow with light brown at some edges or small spots</v>
      </c>
      <c r="H74" s="12" t="str">
        <f>IF(F74="","",IFERROR(INDEX(Bands!$J$3:$J$6,MATCH(F74,Bands!$A$3:$A$6,0)),""))</f>
        <v>Not pale yellow (matches a low value) and not deep reddish-brown (matches a high value). Avoid black or burnt chips.</v>
      </c>
      <c r="I74" s="12" t="str">
        <f>IF(F74="","","Ch3_"&amp;TEXT(COUNT($E$2:E74),"000")&amp;"_"&amp;SUBSTITUTE(F74," ","-")&amp;"_"&amp;TEXT(E74,"0")&amp;".jpg")</f>
        <v>Ch3_071_Medium_838.jpg</v>
      </c>
    </row>
    <row r="75" spans="1:9" ht="12.75" customHeight="1" x14ac:dyDescent="0.25">
      <c r="A75" s="2"/>
      <c r="B75" s="8" t="s">
        <v>33</v>
      </c>
      <c r="C75" s="9">
        <v>0.97409999999999997</v>
      </c>
      <c r="D75" s="10">
        <v>55.023000000000003</v>
      </c>
      <c r="E75" s="11">
        <f t="shared" si="2"/>
        <v>564.85987064983067</v>
      </c>
      <c r="F75" s="12" t="str">
        <f>IF(NOT(ISNUMBER(E75)),"",IF(E75&lt;Bands!$B$4,"Low",IF(E75&lt;Bands!$B$5,"Medium",IF(E75&lt;Bands!$B$6,"High","Very high"))))</f>
        <v>Medium</v>
      </c>
      <c r="G75" s="12" t="str">
        <f>IF(F75="","",IFERROR(INDEX(Bands!$D$3:$D$6,MATCH(F75,Bands!$A$3:$A$6,0)),""))</f>
        <v>Golden yellow with light brown at some edges or small spots</v>
      </c>
      <c r="H75" s="12" t="str">
        <f>IF(F75="","",IFERROR(INDEX(Bands!$J$3:$J$6,MATCH(F75,Bands!$A$3:$A$6,0)),""))</f>
        <v>Not pale yellow (matches a low value) and not deep reddish-brown (matches a high value). Avoid black or burnt chips.</v>
      </c>
      <c r="I75" s="12" t="str">
        <f>IF(F75="","","Ch3_"&amp;TEXT(COUNT($E$2:E75),"000")&amp;"_"&amp;SUBSTITUTE(F75," ","-")&amp;"_"&amp;TEXT(E75,"0")&amp;".jpg")</f>
        <v>Ch3_072_Medium_565.jpg</v>
      </c>
    </row>
    <row r="76" spans="1:9" ht="12.75" customHeight="1" x14ac:dyDescent="0.25">
      <c r="A76" s="2"/>
      <c r="B76" s="8" t="s">
        <v>36</v>
      </c>
      <c r="C76" s="9">
        <v>1.0024999999999999</v>
      </c>
      <c r="D76" s="10">
        <v>87.646000000000001</v>
      </c>
      <c r="E76" s="11">
        <f t="shared" si="2"/>
        <v>874.27431421446397</v>
      </c>
      <c r="F76" s="12" t="str">
        <f>IF(NOT(ISNUMBER(E76)),"",IF(E76&lt;Bands!$B$4,"Low",IF(E76&lt;Bands!$B$5,"Medium",IF(E76&lt;Bands!$B$6,"High","Very high"))))</f>
        <v>Medium</v>
      </c>
      <c r="G76" s="12" t="str">
        <f>IF(F76="","",IFERROR(INDEX(Bands!$D$3:$D$6,MATCH(F76,Bands!$A$3:$A$6,0)),""))</f>
        <v>Golden yellow with light brown at some edges or small spots</v>
      </c>
      <c r="H76" s="12" t="str">
        <f>IF(F76="","",IFERROR(INDEX(Bands!$J$3:$J$6,MATCH(F76,Bands!$A$3:$A$6,0)),""))</f>
        <v>Not pale yellow (matches a low value) and not deep reddish-brown (matches a high value). Avoid black or burnt chips.</v>
      </c>
      <c r="I76" s="12" t="str">
        <f>IF(F76="","","Ch3_"&amp;TEXT(COUNT($E$2:E76),"000")&amp;"_"&amp;SUBSTITUTE(F76," ","-")&amp;"_"&amp;TEXT(E76,"0")&amp;".jpg")</f>
        <v>Ch3_073_Medium_874.jpg</v>
      </c>
    </row>
    <row r="77" spans="1:9" ht="12.75" customHeight="1" x14ac:dyDescent="0.25">
      <c r="A77" s="2"/>
      <c r="B77" s="8" t="s">
        <v>37</v>
      </c>
      <c r="C77" s="9">
        <v>0.97160000000000002</v>
      </c>
      <c r="D77" s="10">
        <v>72.034000000000006</v>
      </c>
      <c r="E77" s="11">
        <f t="shared" si="2"/>
        <v>741.39563606422394</v>
      </c>
      <c r="F77" s="12" t="str">
        <f>IF(NOT(ISNUMBER(E77)),"",IF(E77&lt;Bands!$B$4,"Low",IF(E77&lt;Bands!$B$5,"Medium",IF(E77&lt;Bands!$B$6,"High","Very high"))))</f>
        <v>Medium</v>
      </c>
      <c r="G77" s="12" t="str">
        <f>IF(F77="","",IFERROR(INDEX(Bands!$D$3:$D$6,MATCH(F77,Bands!$A$3:$A$6,0)),""))</f>
        <v>Golden yellow with light brown at some edges or small spots</v>
      </c>
      <c r="H77" s="12" t="str">
        <f>IF(F77="","",IFERROR(INDEX(Bands!$J$3:$J$6,MATCH(F77,Bands!$A$3:$A$6,0)),""))</f>
        <v>Not pale yellow (matches a low value) and not deep reddish-brown (matches a high value). Avoid black or burnt chips.</v>
      </c>
      <c r="I77" s="12" t="str">
        <f>IF(F77="","","Ch3_"&amp;TEXT(COUNT($E$2:E77),"000")&amp;"_"&amp;SUBSTITUTE(F77," ","-")&amp;"_"&amp;TEXT(E77,"0")&amp;".jpg")</f>
        <v>Ch3_074_Medium_741.jpg</v>
      </c>
    </row>
    <row r="78" spans="1:9" ht="12.75" customHeight="1" x14ac:dyDescent="0.25">
      <c r="A78" s="2"/>
      <c r="B78" s="8" t="s">
        <v>38</v>
      </c>
      <c r="C78" s="9">
        <v>0.97</v>
      </c>
      <c r="D78" s="10">
        <v>305.80900000000003</v>
      </c>
      <c r="E78" s="11">
        <f t="shared" si="2"/>
        <v>3152.6701030927838</v>
      </c>
      <c r="F78" s="12" t="str">
        <f>IF(NOT(ISNUMBER(E78)),"",IF(E78&lt;Bands!$B$4,"Low",IF(E78&lt;Bands!$B$5,"Medium",IF(E78&lt;Bands!$B$6,"High","Very high"))))</f>
        <v>Very high</v>
      </c>
      <c r="G78" s="12" t="str">
        <f>IF(F78="","",IFERROR(INDEX(Bands!$D$3:$D$6,MATCH(F78,Bands!$A$3:$A$6,0)),""))</f>
        <v>Deep golden-brown to medium brown with a reddish tone; edges darkest, centre golden or light brown</v>
      </c>
      <c r="H78" s="12" t="str">
        <f>IF(F78="","",IFERROR(INDEX(Bands!$J$3:$J$6,MATCH(F78,Bands!$A$3:$A$6,0)),""))</f>
        <v>Not pale yellow, which would match a low value, or black and burnt, since very dark chips can have lower acrylamide.</v>
      </c>
      <c r="I78" s="12" t="str">
        <f>IF(F78="","","Ch3_"&amp;TEXT(COUNT($E$2:E78),"000")&amp;"_"&amp;SUBSTITUTE(F78," ","-")&amp;"_"&amp;TEXT(E78,"0")&amp;".jpg")</f>
        <v>Ch3_075_Very-high_3153.jpg</v>
      </c>
    </row>
    <row r="79" spans="1:9" ht="12.75" customHeight="1" x14ac:dyDescent="0.25">
      <c r="A79" s="2"/>
      <c r="B79" s="8" t="s">
        <v>39</v>
      </c>
      <c r="C79" s="9">
        <v>0.95669999999999999</v>
      </c>
      <c r="D79" s="10">
        <v>47.698</v>
      </c>
      <c r="E79" s="11">
        <f t="shared" si="2"/>
        <v>498.56799414654546</v>
      </c>
      <c r="F79" s="12" t="str">
        <f>IF(NOT(ISNUMBER(E79)),"",IF(E79&lt;Bands!$B$4,"Low",IF(E79&lt;Bands!$B$5,"Medium",IF(E79&lt;Bands!$B$6,"High","Very high"))))</f>
        <v>Low</v>
      </c>
      <c r="G79" s="12" t="str">
        <f>IF(F79="","",IFERROR(INDEX(Bands!$D$3:$D$6,MATCH(F79,Bands!$A$3:$A$6,0)),""))</f>
        <v>Pale yellow to light golden, even colour, no brown spots</v>
      </c>
      <c r="H79" s="12" t="str">
        <f>IF(F79="","",IFERROR(INDEX(Bands!$J$3:$J$6,MATCH(F79,Bands!$A$3:$A$6,0)),""))</f>
        <v>Not deep golden-brown or reddish-brown (those match higher values). Avoid black or burnt chips.</v>
      </c>
      <c r="I79" s="12" t="str">
        <f>IF(F79="","","Ch3_"&amp;TEXT(COUNT($E$2:E79),"000")&amp;"_"&amp;SUBSTITUTE(F79," ","-")&amp;"_"&amp;TEXT(E79,"0")&amp;".jpg")</f>
        <v>Ch3_076_Low_499.jpg</v>
      </c>
    </row>
    <row r="80" spans="1:9" ht="12.75" customHeight="1" x14ac:dyDescent="0.25">
      <c r="A80" s="2"/>
      <c r="B80" s="8" t="s">
        <v>40</v>
      </c>
      <c r="C80" s="9">
        <v>0.99439999999999995</v>
      </c>
      <c r="D80" s="10">
        <v>27.373000000000001</v>
      </c>
      <c r="E80" s="11">
        <f t="shared" si="2"/>
        <v>275.27152051488338</v>
      </c>
      <c r="F80" s="12" t="str">
        <f>IF(NOT(ISNUMBER(E80)),"",IF(E80&lt;Bands!$B$4,"Low",IF(E80&lt;Bands!$B$5,"Medium",IF(E80&lt;Bands!$B$6,"High","Very high"))))</f>
        <v>Low</v>
      </c>
      <c r="G80" s="12" t="str">
        <f>IF(F80="","",IFERROR(INDEX(Bands!$D$3:$D$6,MATCH(F80,Bands!$A$3:$A$6,0)),""))</f>
        <v>Pale yellow to light golden, even colour, no brown spots</v>
      </c>
      <c r="H80" s="12" t="str">
        <f>IF(F80="","",IFERROR(INDEX(Bands!$J$3:$J$6,MATCH(F80,Bands!$A$3:$A$6,0)),""))</f>
        <v>Not deep golden-brown or reddish-brown (those match higher values). Avoid black or burnt chips.</v>
      </c>
      <c r="I80" s="12" t="str">
        <f>IF(F80="","","Ch3_"&amp;TEXT(COUNT($E$2:E80),"000")&amp;"_"&amp;SUBSTITUTE(F80," ","-")&amp;"_"&amp;TEXT(E80,"0")&amp;".jpg")</f>
        <v>Ch3_077_Low_275.jpg</v>
      </c>
    </row>
    <row r="81" spans="1:9" ht="12.75" customHeight="1" x14ac:dyDescent="0.25">
      <c r="A81" s="2"/>
      <c r="B81" s="8" t="s">
        <v>41</v>
      </c>
      <c r="C81" s="9">
        <v>1.0024999999999999</v>
      </c>
      <c r="D81" s="10">
        <v>52.634</v>
      </c>
      <c r="E81" s="11">
        <f t="shared" si="2"/>
        <v>525.02743142144641</v>
      </c>
      <c r="F81" s="12" t="str">
        <f>IF(NOT(ISNUMBER(E81)),"",IF(E81&lt;Bands!$B$4,"Low",IF(E81&lt;Bands!$B$5,"Medium",IF(E81&lt;Bands!$B$6,"High","Very high"))))</f>
        <v>Medium</v>
      </c>
      <c r="G81" s="12" t="str">
        <f>IF(F81="","",IFERROR(INDEX(Bands!$D$3:$D$6,MATCH(F81,Bands!$A$3:$A$6,0)),""))</f>
        <v>Golden yellow with light brown at some edges or small spots</v>
      </c>
      <c r="H81" s="12" t="str">
        <f>IF(F81="","",IFERROR(INDEX(Bands!$J$3:$J$6,MATCH(F81,Bands!$A$3:$A$6,0)),""))</f>
        <v>Not pale yellow (matches a low value) and not deep reddish-brown (matches a high value). Avoid black or burnt chips.</v>
      </c>
      <c r="I81" s="12" t="str">
        <f>IF(F81="","","Ch3_"&amp;TEXT(COUNT($E$2:E81),"000")&amp;"_"&amp;SUBSTITUTE(F81," ","-")&amp;"_"&amp;TEXT(E81,"0")&amp;".jpg")</f>
        <v>Ch3_078_Medium_525.jpg</v>
      </c>
    </row>
    <row r="82" spans="1:9" ht="12.75" customHeight="1" x14ac:dyDescent="0.25">
      <c r="B82" s="8"/>
      <c r="C82" s="9"/>
      <c r="D82" s="10"/>
      <c r="E82" s="11"/>
    </row>
    <row r="83" spans="1:9" ht="12.75" customHeight="1" x14ac:dyDescent="0.25">
      <c r="A83" s="2" t="s">
        <v>42</v>
      </c>
      <c r="B83" s="8" t="s">
        <v>10</v>
      </c>
      <c r="C83" s="9">
        <v>1.0349999999999999</v>
      </c>
      <c r="D83" s="10">
        <v>69.459999999999994</v>
      </c>
      <c r="E83" s="11">
        <f t="shared" ref="E83:E100" si="3">D83*10/C83</f>
        <v>671.11111111111109</v>
      </c>
      <c r="F83" s="12" t="str">
        <f>IF(NOT(ISNUMBER(E83)),"",IF(E83&lt;Bands!$B$4,"Low",IF(E83&lt;Bands!$B$5,"Medium",IF(E83&lt;Bands!$B$6,"High","Very high"))))</f>
        <v>Medium</v>
      </c>
      <c r="G83" s="12" t="str">
        <f>IF(F83="","",IFERROR(INDEX(Bands!$D$3:$D$6,MATCH(F83,Bands!$A$3:$A$6,0)),""))</f>
        <v>Golden yellow with light brown at some edges or small spots</v>
      </c>
      <c r="H83" s="12" t="str">
        <f>IF(F83="","",IFERROR(INDEX(Bands!$J$3:$J$6,MATCH(F83,Bands!$A$3:$A$6,0)),""))</f>
        <v>Not pale yellow (matches a low value) and not deep reddish-brown (matches a high value). Avoid black or burnt chips.</v>
      </c>
      <c r="I83" s="12" t="str">
        <f>IF(F83="","","Ch3_"&amp;TEXT(COUNT($E$2:E83),"000")&amp;"_"&amp;SUBSTITUTE(F83," ","-")&amp;"_"&amp;TEXT(E83,"0")&amp;".jpg")</f>
        <v>Ch3_079_Medium_671.jpg</v>
      </c>
    </row>
    <row r="84" spans="1:9" ht="12.75" customHeight="1" x14ac:dyDescent="0.25">
      <c r="A84" s="2"/>
      <c r="B84" s="8" t="s">
        <v>11</v>
      </c>
      <c r="C84" s="9">
        <v>0.95379999999999998</v>
      </c>
      <c r="D84" s="10">
        <v>74.676000000000002</v>
      </c>
      <c r="E84" s="11">
        <f t="shared" si="3"/>
        <v>782.93143216607257</v>
      </c>
      <c r="F84" s="12" t="str">
        <f>IF(NOT(ISNUMBER(E84)),"",IF(E84&lt;Bands!$B$4,"Low",IF(E84&lt;Bands!$B$5,"Medium",IF(E84&lt;Bands!$B$6,"High","Very high"))))</f>
        <v>Medium</v>
      </c>
      <c r="G84" s="12" t="str">
        <f>IF(F84="","",IFERROR(INDEX(Bands!$D$3:$D$6,MATCH(F84,Bands!$A$3:$A$6,0)),""))</f>
        <v>Golden yellow with light brown at some edges or small spots</v>
      </c>
      <c r="H84" s="12" t="str">
        <f>IF(F84="","",IFERROR(INDEX(Bands!$J$3:$J$6,MATCH(F84,Bands!$A$3:$A$6,0)),""))</f>
        <v>Not pale yellow (matches a low value) and not deep reddish-brown (matches a high value). Avoid black or burnt chips.</v>
      </c>
      <c r="I84" s="12" t="str">
        <f>IF(F84="","","Ch3_"&amp;TEXT(COUNT($E$2:E84),"000")&amp;"_"&amp;SUBSTITUTE(F84," ","-")&amp;"_"&amp;TEXT(E84,"0")&amp;".jpg")</f>
        <v>Ch3_080_Medium_783.jpg</v>
      </c>
    </row>
    <row r="85" spans="1:9" ht="12.75" customHeight="1" x14ac:dyDescent="0.25">
      <c r="A85" s="2"/>
      <c r="B85" s="8" t="s">
        <v>12</v>
      </c>
      <c r="C85" s="9">
        <v>1.0009999999999999</v>
      </c>
      <c r="D85" s="10">
        <v>118.95</v>
      </c>
      <c r="E85" s="11">
        <f t="shared" si="3"/>
        <v>1188.3116883116884</v>
      </c>
      <c r="F85" s="12" t="str">
        <f>IF(NOT(ISNUMBER(E85)),"",IF(E85&lt;Bands!$B$4,"Low",IF(E85&lt;Bands!$B$5,"Medium",IF(E85&lt;Bands!$B$6,"High","Very high"))))</f>
        <v>High</v>
      </c>
      <c r="G85" s="12" t="str">
        <f>IF(F85="","",IFERROR(INDEX(Bands!$D$3:$D$6,MATCH(F85,Bands!$A$3:$A$6,0)),""))</f>
        <v>Golden-brown with a reddish tint, brown edges, somewhat uneven</v>
      </c>
      <c r="H85" s="12" t="str">
        <f>IF(F85="","",IFERROR(INDEX(Bands!$J$3:$J$6,MATCH(F85,Bands!$A$3:$A$6,0)),""))</f>
        <v>Not pale yellow, which would match a low value. Not black or burnt, since very dark chips can have lower acrylamide.</v>
      </c>
      <c r="I85" s="12" t="str">
        <f>IF(F85="","","Ch3_"&amp;TEXT(COUNT($E$2:E85),"000")&amp;"_"&amp;SUBSTITUTE(F85," ","-")&amp;"_"&amp;TEXT(E85,"0")&amp;".jpg")</f>
        <v>Ch3_081_High_1188.jpg</v>
      </c>
    </row>
    <row r="86" spans="1:9" ht="12.75" customHeight="1" x14ac:dyDescent="0.25">
      <c r="A86" s="2"/>
      <c r="B86" s="8" t="s">
        <v>13</v>
      </c>
      <c r="C86" s="9">
        <v>0.99060000000000004</v>
      </c>
      <c r="D86" s="10">
        <v>54.463000000000001</v>
      </c>
      <c r="E86" s="11">
        <f t="shared" si="3"/>
        <v>549.79810216030683</v>
      </c>
      <c r="F86" s="12" t="str">
        <f>IF(NOT(ISNUMBER(E86)),"",IF(E86&lt;Bands!$B$4,"Low",IF(E86&lt;Bands!$B$5,"Medium",IF(E86&lt;Bands!$B$6,"High","Very high"))))</f>
        <v>Medium</v>
      </c>
      <c r="G86" s="12" t="str">
        <f>IF(F86="","",IFERROR(INDEX(Bands!$D$3:$D$6,MATCH(F86,Bands!$A$3:$A$6,0)),""))</f>
        <v>Golden yellow with light brown at some edges or small spots</v>
      </c>
      <c r="H86" s="12" t="str">
        <f>IF(F86="","",IFERROR(INDEX(Bands!$J$3:$J$6,MATCH(F86,Bands!$A$3:$A$6,0)),""))</f>
        <v>Not pale yellow (matches a low value) and not deep reddish-brown (matches a high value). Avoid black or burnt chips.</v>
      </c>
      <c r="I86" s="12" t="str">
        <f>IF(F86="","","Ch3_"&amp;TEXT(COUNT($E$2:E86),"000")&amp;"_"&amp;SUBSTITUTE(F86," ","-")&amp;"_"&amp;TEXT(E86,"0")&amp;".jpg")</f>
        <v>Ch3_082_Medium_550.jpg</v>
      </c>
    </row>
    <row r="87" spans="1:9" ht="12.75" customHeight="1" x14ac:dyDescent="0.25">
      <c r="A87" s="2"/>
      <c r="B87" s="8" t="s">
        <v>14</v>
      </c>
      <c r="C87" s="9">
        <v>0.97909999999999997</v>
      </c>
      <c r="D87" s="10">
        <v>40.484000000000002</v>
      </c>
      <c r="E87" s="11">
        <f t="shared" si="3"/>
        <v>413.48176897150449</v>
      </c>
      <c r="F87" s="12" t="str">
        <f>IF(NOT(ISNUMBER(E87)),"",IF(E87&lt;Bands!$B$4,"Low",IF(E87&lt;Bands!$B$5,"Medium",IF(E87&lt;Bands!$B$6,"High","Very high"))))</f>
        <v>Low</v>
      </c>
      <c r="G87" s="12" t="str">
        <f>IF(F87="","",IFERROR(INDEX(Bands!$D$3:$D$6,MATCH(F87,Bands!$A$3:$A$6,0)),""))</f>
        <v>Pale yellow to light golden, even colour, no brown spots</v>
      </c>
      <c r="H87" s="12" t="str">
        <f>IF(F87="","",IFERROR(INDEX(Bands!$J$3:$J$6,MATCH(F87,Bands!$A$3:$A$6,0)),""))</f>
        <v>Not deep golden-brown or reddish-brown (those match higher values). Avoid black or burnt chips.</v>
      </c>
      <c r="I87" s="12" t="str">
        <f>IF(F87="","","Ch3_"&amp;TEXT(COUNT($E$2:E87),"000")&amp;"_"&amp;SUBSTITUTE(F87," ","-")&amp;"_"&amp;TEXT(E87,"0")&amp;".jpg")</f>
        <v>Ch3_083_Low_413.jpg</v>
      </c>
    </row>
    <row r="88" spans="1:9" ht="12.75" customHeight="1" x14ac:dyDescent="0.25">
      <c r="A88" s="2"/>
      <c r="B88" s="8" t="s">
        <v>15</v>
      </c>
      <c r="C88" s="9">
        <v>1.0011000000000001</v>
      </c>
      <c r="D88" s="10">
        <v>11.178000000000001</v>
      </c>
      <c r="E88" s="11">
        <f t="shared" si="3"/>
        <v>111.65717710518429</v>
      </c>
      <c r="F88" s="12" t="str">
        <f>IF(NOT(ISNUMBER(E88)),"",IF(E88&lt;Bands!$B$4,"Low",IF(E88&lt;Bands!$B$5,"Medium",IF(E88&lt;Bands!$B$6,"High","Very high"))))</f>
        <v>Low</v>
      </c>
      <c r="G88" s="12" t="str">
        <f>IF(F88="","",IFERROR(INDEX(Bands!$D$3:$D$6,MATCH(F88,Bands!$A$3:$A$6,0)),""))</f>
        <v>Pale yellow to light golden, even colour, no brown spots</v>
      </c>
      <c r="H88" s="12" t="str">
        <f>IF(F88="","",IFERROR(INDEX(Bands!$J$3:$J$6,MATCH(F88,Bands!$A$3:$A$6,0)),""))</f>
        <v>Not deep golden-brown or reddish-brown (those match higher values). Avoid black or burnt chips.</v>
      </c>
      <c r="I88" s="12" t="str">
        <f>IF(F88="","","Ch3_"&amp;TEXT(COUNT($E$2:E88),"000")&amp;"_"&amp;SUBSTITUTE(F88," ","-")&amp;"_"&amp;TEXT(E88,"0")&amp;".jpg")</f>
        <v>Ch3_084_Low_112.jpg</v>
      </c>
    </row>
    <row r="89" spans="1:9" ht="12.75" customHeight="1" x14ac:dyDescent="0.25">
      <c r="A89" s="2"/>
      <c r="B89" s="8" t="s">
        <v>16</v>
      </c>
      <c r="C89" s="9">
        <v>0.99519999999999997</v>
      </c>
      <c r="D89" s="10">
        <v>130.83699999999999</v>
      </c>
      <c r="E89" s="11">
        <f t="shared" si="3"/>
        <v>1314.680466237942</v>
      </c>
      <c r="F89" s="12" t="str">
        <f>IF(NOT(ISNUMBER(E89)),"",IF(E89&lt;Bands!$B$4,"Low",IF(E89&lt;Bands!$B$5,"Medium",IF(E89&lt;Bands!$B$6,"High","Very high"))))</f>
        <v>High</v>
      </c>
      <c r="G89" s="12" t="str">
        <f>IF(F89="","",IFERROR(INDEX(Bands!$D$3:$D$6,MATCH(F89,Bands!$A$3:$A$6,0)),""))</f>
        <v>Golden-brown with a reddish tint, brown edges, somewhat uneven</v>
      </c>
      <c r="H89" s="12" t="str">
        <f>IF(F89="","",IFERROR(INDEX(Bands!$J$3:$J$6,MATCH(F89,Bands!$A$3:$A$6,0)),""))</f>
        <v>Not pale yellow, which would match a low value. Not black or burnt, since very dark chips can have lower acrylamide.</v>
      </c>
      <c r="I89" s="12" t="str">
        <f>IF(F89="","","Ch3_"&amp;TEXT(COUNT($E$2:E89),"000")&amp;"_"&amp;SUBSTITUTE(F89," ","-")&amp;"_"&amp;TEXT(E89,"0")&amp;".jpg")</f>
        <v>Ch3_085_High_1315.jpg</v>
      </c>
    </row>
    <row r="90" spans="1:9" ht="12.75" customHeight="1" x14ac:dyDescent="0.25">
      <c r="A90" s="2"/>
      <c r="B90" s="8" t="s">
        <v>17</v>
      </c>
      <c r="C90" s="9">
        <v>0.98570000000000002</v>
      </c>
      <c r="D90" s="10">
        <v>79.915999999999997</v>
      </c>
      <c r="E90" s="11">
        <f t="shared" si="3"/>
        <v>810.75377904027584</v>
      </c>
      <c r="F90" s="12" t="str">
        <f>IF(NOT(ISNUMBER(E90)),"",IF(E90&lt;Bands!$B$4,"Low",IF(E90&lt;Bands!$B$5,"Medium",IF(E90&lt;Bands!$B$6,"High","Very high"))))</f>
        <v>Medium</v>
      </c>
      <c r="G90" s="12" t="str">
        <f>IF(F90="","",IFERROR(INDEX(Bands!$D$3:$D$6,MATCH(F90,Bands!$A$3:$A$6,0)),""))</f>
        <v>Golden yellow with light brown at some edges or small spots</v>
      </c>
      <c r="H90" s="12" t="str">
        <f>IF(F90="","",IFERROR(INDEX(Bands!$J$3:$J$6,MATCH(F90,Bands!$A$3:$A$6,0)),""))</f>
        <v>Not pale yellow (matches a low value) and not deep reddish-brown (matches a high value). Avoid black or burnt chips.</v>
      </c>
      <c r="I90" s="12" t="str">
        <f>IF(F90="","","Ch3_"&amp;TEXT(COUNT($E$2:E90),"000")&amp;"_"&amp;SUBSTITUTE(F90," ","-")&amp;"_"&amp;TEXT(E90,"0")&amp;".jpg")</f>
        <v>Ch3_086_Medium_811.jpg</v>
      </c>
    </row>
    <row r="91" spans="1:9" ht="12.75" customHeight="1" x14ac:dyDescent="0.25">
      <c r="A91" s="2"/>
      <c r="B91" s="8" t="s">
        <v>18</v>
      </c>
      <c r="C91" s="9">
        <v>0.98519999999999996</v>
      </c>
      <c r="D91" s="10">
        <v>183.76300000000001</v>
      </c>
      <c r="E91" s="11">
        <f t="shared" si="3"/>
        <v>1865.2354851806742</v>
      </c>
      <c r="F91" s="12" t="str">
        <f>IF(NOT(ISNUMBER(E91)),"",IF(E91&lt;Bands!$B$4,"Low",IF(E91&lt;Bands!$B$5,"Medium",IF(E91&lt;Bands!$B$6,"High","Very high"))))</f>
        <v>High</v>
      </c>
      <c r="G91" s="12" t="str">
        <f>IF(F91="","",IFERROR(INDEX(Bands!$D$3:$D$6,MATCH(F91,Bands!$A$3:$A$6,0)),""))</f>
        <v>Golden-brown with a reddish tint, brown edges, somewhat uneven</v>
      </c>
      <c r="H91" s="12" t="str">
        <f>IF(F91="","",IFERROR(INDEX(Bands!$J$3:$J$6,MATCH(F91,Bands!$A$3:$A$6,0)),""))</f>
        <v>Not pale yellow, which would match a low value. Not black or burnt, since very dark chips can have lower acrylamide.</v>
      </c>
      <c r="I91" s="12" t="str">
        <f>IF(F91="","","Ch3_"&amp;TEXT(COUNT($E$2:E91),"000")&amp;"_"&amp;SUBSTITUTE(F91," ","-")&amp;"_"&amp;TEXT(E91,"0")&amp;".jpg")</f>
        <v>Ch3_087_High_1865.jpg</v>
      </c>
    </row>
    <row r="92" spans="1:9" ht="12.75" customHeight="1" x14ac:dyDescent="0.25">
      <c r="A92" s="2"/>
      <c r="B92" s="8" t="s">
        <v>19</v>
      </c>
      <c r="C92" s="9">
        <v>0.98340000000000005</v>
      </c>
      <c r="D92" s="10">
        <v>51.058</v>
      </c>
      <c r="E92" s="11">
        <f t="shared" si="3"/>
        <v>519.19869839332921</v>
      </c>
      <c r="F92" s="12" t="str">
        <f>IF(NOT(ISNUMBER(E92)),"",IF(E92&lt;Bands!$B$4,"Low",IF(E92&lt;Bands!$B$5,"Medium",IF(E92&lt;Bands!$B$6,"High","Very high"))))</f>
        <v>Medium</v>
      </c>
      <c r="G92" s="12" t="str">
        <f>IF(F92="","",IFERROR(INDEX(Bands!$D$3:$D$6,MATCH(F92,Bands!$A$3:$A$6,0)),""))</f>
        <v>Golden yellow with light brown at some edges or small spots</v>
      </c>
      <c r="H92" s="12" t="str">
        <f>IF(F92="","",IFERROR(INDEX(Bands!$J$3:$J$6,MATCH(F92,Bands!$A$3:$A$6,0)),""))</f>
        <v>Not pale yellow (matches a low value) and not deep reddish-brown (matches a high value). Avoid black or burnt chips.</v>
      </c>
      <c r="I92" s="12" t="str">
        <f>IF(F92="","","Ch3_"&amp;TEXT(COUNT($E$2:E92),"000")&amp;"_"&amp;SUBSTITUTE(F92," ","-")&amp;"_"&amp;TEXT(E92,"0")&amp;".jpg")</f>
        <v>Ch3_088_Medium_519.jpg</v>
      </c>
    </row>
    <row r="93" spans="1:9" ht="12.75" customHeight="1" x14ac:dyDescent="0.25">
      <c r="A93" s="2"/>
      <c r="B93" s="8" t="s">
        <v>20</v>
      </c>
      <c r="C93" s="9">
        <v>0.99039999999999995</v>
      </c>
      <c r="D93" s="10">
        <v>31.327000000000002</v>
      </c>
      <c r="E93" s="11">
        <f t="shared" si="3"/>
        <v>316.30654281098549</v>
      </c>
      <c r="F93" s="12" t="str">
        <f>IF(NOT(ISNUMBER(E93)),"",IF(E93&lt;Bands!$B$4,"Low",IF(E93&lt;Bands!$B$5,"Medium",IF(E93&lt;Bands!$B$6,"High","Very high"))))</f>
        <v>Low</v>
      </c>
      <c r="G93" s="12" t="str">
        <f>IF(F93="","",IFERROR(INDEX(Bands!$D$3:$D$6,MATCH(F93,Bands!$A$3:$A$6,0)),""))</f>
        <v>Pale yellow to light golden, even colour, no brown spots</v>
      </c>
      <c r="H93" s="12" t="str">
        <f>IF(F93="","",IFERROR(INDEX(Bands!$J$3:$J$6,MATCH(F93,Bands!$A$3:$A$6,0)),""))</f>
        <v>Not deep golden-brown or reddish-brown (those match higher values). Avoid black or burnt chips.</v>
      </c>
      <c r="I93" s="12" t="str">
        <f>IF(F93="","","Ch3_"&amp;TEXT(COUNT($E$2:E93),"000")&amp;"_"&amp;SUBSTITUTE(F93," ","-")&amp;"_"&amp;TEXT(E93,"0")&amp;".jpg")</f>
        <v>Ch3_089_Low_316.jpg</v>
      </c>
    </row>
    <row r="94" spans="1:9" ht="12.75" customHeight="1" x14ac:dyDescent="0.25">
      <c r="A94" s="2"/>
      <c r="B94" s="8" t="s">
        <v>21</v>
      </c>
      <c r="C94" s="9">
        <v>1.0122</v>
      </c>
      <c r="D94" s="10">
        <v>47.866</v>
      </c>
      <c r="E94" s="11">
        <f t="shared" si="3"/>
        <v>472.89073305670814</v>
      </c>
      <c r="F94" s="12" t="str">
        <f>IF(NOT(ISNUMBER(E94)),"",IF(E94&lt;Bands!$B$4,"Low",IF(E94&lt;Bands!$B$5,"Medium",IF(E94&lt;Bands!$B$6,"High","Very high"))))</f>
        <v>Low</v>
      </c>
      <c r="G94" s="12" t="str">
        <f>IF(F94="","",IFERROR(INDEX(Bands!$D$3:$D$6,MATCH(F94,Bands!$A$3:$A$6,0)),""))</f>
        <v>Pale yellow to light golden, even colour, no brown spots</v>
      </c>
      <c r="H94" s="12" t="str">
        <f>IF(F94="","",IFERROR(INDEX(Bands!$J$3:$J$6,MATCH(F94,Bands!$A$3:$A$6,0)),""))</f>
        <v>Not deep golden-brown or reddish-brown (those match higher values). Avoid black or burnt chips.</v>
      </c>
      <c r="I94" s="12" t="str">
        <f>IF(F94="","","Ch3_"&amp;TEXT(COUNT($E$2:E94),"000")&amp;"_"&amp;SUBSTITUTE(F94," ","-")&amp;"_"&amp;TEXT(E94,"0")&amp;".jpg")</f>
        <v>Ch3_090_Low_473.jpg</v>
      </c>
    </row>
    <row r="95" spans="1:9" ht="12.75" customHeight="1" x14ac:dyDescent="0.25">
      <c r="A95" s="2"/>
      <c r="B95" s="8" t="s">
        <v>22</v>
      </c>
      <c r="C95" s="9">
        <v>0.97829999999999995</v>
      </c>
      <c r="D95" s="10">
        <v>77.224000000000004</v>
      </c>
      <c r="E95" s="11">
        <f t="shared" si="3"/>
        <v>789.36931411632429</v>
      </c>
      <c r="F95" s="12" t="str">
        <f>IF(NOT(ISNUMBER(E95)),"",IF(E95&lt;Bands!$B$4,"Low",IF(E95&lt;Bands!$B$5,"Medium",IF(E95&lt;Bands!$B$6,"High","Very high"))))</f>
        <v>Medium</v>
      </c>
      <c r="G95" s="12" t="str">
        <f>IF(F95="","",IFERROR(INDEX(Bands!$D$3:$D$6,MATCH(F95,Bands!$A$3:$A$6,0)),""))</f>
        <v>Golden yellow with light brown at some edges or small spots</v>
      </c>
      <c r="H95" s="12" t="str">
        <f>IF(F95="","",IFERROR(INDEX(Bands!$J$3:$J$6,MATCH(F95,Bands!$A$3:$A$6,0)),""))</f>
        <v>Not pale yellow (matches a low value) and not deep reddish-brown (matches a high value). Avoid black or burnt chips.</v>
      </c>
      <c r="I95" s="12" t="str">
        <f>IF(F95="","","Ch3_"&amp;TEXT(COUNT($E$2:E95),"000")&amp;"_"&amp;SUBSTITUTE(F95," ","-")&amp;"_"&amp;TEXT(E95,"0")&amp;".jpg")</f>
        <v>Ch3_091_Medium_789.jpg</v>
      </c>
    </row>
    <row r="96" spans="1:9" ht="12.75" customHeight="1" x14ac:dyDescent="0.25">
      <c r="A96" s="2"/>
      <c r="B96" s="8" t="s">
        <v>23</v>
      </c>
      <c r="C96" s="9">
        <v>1.0065999999999999</v>
      </c>
      <c r="D96" s="10">
        <v>77.322000000000003</v>
      </c>
      <c r="E96" s="11">
        <f t="shared" si="3"/>
        <v>768.15020862308768</v>
      </c>
      <c r="F96" s="12" t="str">
        <f>IF(NOT(ISNUMBER(E96)),"",IF(E96&lt;Bands!$B$4,"Low",IF(E96&lt;Bands!$B$5,"Medium",IF(E96&lt;Bands!$B$6,"High","Very high"))))</f>
        <v>Medium</v>
      </c>
      <c r="G96" s="12" t="str">
        <f>IF(F96="","",IFERROR(INDEX(Bands!$D$3:$D$6,MATCH(F96,Bands!$A$3:$A$6,0)),""))</f>
        <v>Golden yellow with light brown at some edges or small spots</v>
      </c>
      <c r="H96" s="12" t="str">
        <f>IF(F96="","",IFERROR(INDEX(Bands!$J$3:$J$6,MATCH(F96,Bands!$A$3:$A$6,0)),""))</f>
        <v>Not pale yellow (matches a low value) and not deep reddish-brown (matches a high value). Avoid black or burnt chips.</v>
      </c>
      <c r="I96" s="12" t="str">
        <f>IF(F96="","","Ch3_"&amp;TEXT(COUNT($E$2:E96),"000")&amp;"_"&amp;SUBSTITUTE(F96," ","-")&amp;"_"&amp;TEXT(E96,"0")&amp;".jpg")</f>
        <v>Ch3_092_Medium_768.jpg</v>
      </c>
    </row>
    <row r="97" spans="1:9" ht="12.75" customHeight="1" x14ac:dyDescent="0.25">
      <c r="A97" s="2"/>
      <c r="B97" s="8" t="s">
        <v>24</v>
      </c>
      <c r="C97" s="9">
        <v>0.97030000000000005</v>
      </c>
      <c r="D97" s="10">
        <v>28.382000000000001</v>
      </c>
      <c r="E97" s="11">
        <f t="shared" si="3"/>
        <v>292.50747191590227</v>
      </c>
      <c r="F97" s="12" t="str">
        <f>IF(NOT(ISNUMBER(E97)),"",IF(E97&lt;Bands!$B$4,"Low",IF(E97&lt;Bands!$B$5,"Medium",IF(E97&lt;Bands!$B$6,"High","Very high"))))</f>
        <v>Low</v>
      </c>
      <c r="G97" s="12" t="str">
        <f>IF(F97="","",IFERROR(INDEX(Bands!$D$3:$D$6,MATCH(F97,Bands!$A$3:$A$6,0)),""))</f>
        <v>Pale yellow to light golden, even colour, no brown spots</v>
      </c>
      <c r="H97" s="12" t="str">
        <f>IF(F97="","",IFERROR(INDEX(Bands!$J$3:$J$6,MATCH(F97,Bands!$A$3:$A$6,0)),""))</f>
        <v>Not deep golden-brown or reddish-brown (those match higher values). Avoid black or burnt chips.</v>
      </c>
      <c r="I97" s="12" t="str">
        <f>IF(F97="","","Ch3_"&amp;TEXT(COUNT($E$2:E97),"000")&amp;"_"&amp;SUBSTITUTE(F97," ","-")&amp;"_"&amp;TEXT(E97,"0")&amp;".jpg")</f>
        <v>Ch3_093_Low_293.jpg</v>
      </c>
    </row>
    <row r="98" spans="1:9" ht="12.75" customHeight="1" x14ac:dyDescent="0.25">
      <c r="A98" s="2"/>
      <c r="B98" s="8" t="s">
        <v>25</v>
      </c>
      <c r="C98" s="9">
        <v>0.97919999999999996</v>
      </c>
      <c r="D98" s="10">
        <v>24.68</v>
      </c>
      <c r="E98" s="11">
        <f t="shared" si="3"/>
        <v>252.04248366013073</v>
      </c>
      <c r="F98" s="12" t="str">
        <f>IF(NOT(ISNUMBER(E98)),"",IF(E98&lt;Bands!$B$4,"Low",IF(E98&lt;Bands!$B$5,"Medium",IF(E98&lt;Bands!$B$6,"High","Very high"))))</f>
        <v>Low</v>
      </c>
      <c r="G98" s="12" t="str">
        <f>IF(F98="","",IFERROR(INDEX(Bands!$D$3:$D$6,MATCH(F98,Bands!$A$3:$A$6,0)),""))</f>
        <v>Pale yellow to light golden, even colour, no brown spots</v>
      </c>
      <c r="H98" s="12" t="str">
        <f>IF(F98="","",IFERROR(INDEX(Bands!$J$3:$J$6,MATCH(F98,Bands!$A$3:$A$6,0)),""))</f>
        <v>Not deep golden-brown or reddish-brown (those match higher values). Avoid black or burnt chips.</v>
      </c>
      <c r="I98" s="12" t="str">
        <f>IF(F98="","","Ch3_"&amp;TEXT(COUNT($E$2:E98),"000")&amp;"_"&amp;SUBSTITUTE(F98," ","-")&amp;"_"&amp;TEXT(E98,"0")&amp;".jpg")</f>
        <v>Ch3_094_Low_252.jpg</v>
      </c>
    </row>
    <row r="99" spans="1:9" ht="12.75" customHeight="1" x14ac:dyDescent="0.25">
      <c r="A99" s="2"/>
      <c r="B99" s="8" t="s">
        <v>26</v>
      </c>
      <c r="C99" s="9">
        <v>1.0206999999999999</v>
      </c>
      <c r="D99" s="10">
        <v>75.998000000000005</v>
      </c>
      <c r="E99" s="11">
        <f t="shared" si="3"/>
        <v>744.56745370823955</v>
      </c>
      <c r="F99" s="12" t="str">
        <f>IF(NOT(ISNUMBER(E99)),"",IF(E99&lt;Bands!$B$4,"Low",IF(E99&lt;Bands!$B$5,"Medium",IF(E99&lt;Bands!$B$6,"High","Very high"))))</f>
        <v>Medium</v>
      </c>
      <c r="G99" s="12" t="str">
        <f>IF(F99="","",IFERROR(INDEX(Bands!$D$3:$D$6,MATCH(F99,Bands!$A$3:$A$6,0)),""))</f>
        <v>Golden yellow with light brown at some edges or small spots</v>
      </c>
      <c r="H99" s="12" t="str">
        <f>IF(F99="","",IFERROR(INDEX(Bands!$J$3:$J$6,MATCH(F99,Bands!$A$3:$A$6,0)),""))</f>
        <v>Not pale yellow (matches a low value) and not deep reddish-brown (matches a high value). Avoid black or burnt chips.</v>
      </c>
      <c r="I99" s="12" t="str">
        <f>IF(F99="","","Ch3_"&amp;TEXT(COUNT($E$2:E99),"000")&amp;"_"&amp;SUBSTITUTE(F99," ","-")&amp;"_"&amp;TEXT(E99,"0")&amp;".jpg")</f>
        <v>Ch3_095_Medium_745.jpg</v>
      </c>
    </row>
    <row r="100" spans="1:9" ht="12.75" customHeight="1" x14ac:dyDescent="0.25">
      <c r="A100" s="2"/>
      <c r="B100" s="8" t="s">
        <v>27</v>
      </c>
      <c r="C100" s="9">
        <v>0.98180000000000001</v>
      </c>
      <c r="D100" s="10">
        <v>54.078000000000003</v>
      </c>
      <c r="E100" s="11">
        <f t="shared" si="3"/>
        <v>550.8046445304542</v>
      </c>
      <c r="F100" s="12" t="str">
        <f>IF(NOT(ISNUMBER(E100)),"",IF(E100&lt;Bands!$B$4,"Low",IF(E100&lt;Bands!$B$5,"Medium",IF(E100&lt;Bands!$B$6,"High","Very high"))))</f>
        <v>Medium</v>
      </c>
      <c r="G100" s="12" t="str">
        <f>IF(F100="","",IFERROR(INDEX(Bands!$D$3:$D$6,MATCH(F100,Bands!$A$3:$A$6,0)),""))</f>
        <v>Golden yellow with light brown at some edges or small spots</v>
      </c>
      <c r="H100" s="12" t="str">
        <f>IF(F100="","",IFERROR(INDEX(Bands!$J$3:$J$6,MATCH(F100,Bands!$A$3:$A$6,0)),""))</f>
        <v>Not pale yellow (matches a low value) and not deep reddish-brown (matches a high value). Avoid black or burnt chips.</v>
      </c>
      <c r="I100" s="12" t="str">
        <f>IF(F100="","","Ch3_"&amp;TEXT(COUNT($E$2:E100),"000")&amp;"_"&amp;SUBSTITUTE(F100," ","-")&amp;"_"&amp;TEXT(E100,"0")&amp;".jpg")</f>
        <v>Ch3_096_Medium_551.jpg</v>
      </c>
    </row>
    <row r="101" spans="1:9" ht="12.75" customHeight="1" x14ac:dyDescent="0.25">
      <c r="C101" s="9"/>
      <c r="D101" s="9"/>
      <c r="E101" s="11"/>
    </row>
    <row r="102" spans="1:9" ht="12.75" customHeight="1" x14ac:dyDescent="0.25">
      <c r="A102" s="2" t="s">
        <v>43</v>
      </c>
      <c r="B102" s="6" t="s">
        <v>10</v>
      </c>
      <c r="C102" s="9">
        <v>0.97389999999999999</v>
      </c>
      <c r="D102" s="9">
        <v>363.49518071484101</v>
      </c>
      <c r="E102" s="11">
        <v>3732.3665747493701</v>
      </c>
      <c r="F102" s="12" t="str">
        <f>IF(NOT(ISNUMBER(E102)),"",IF(E102&lt;Bands!$B$4,"Low",IF(E102&lt;Bands!$B$5,"Medium",IF(E102&lt;Bands!$B$6,"High","Very high"))))</f>
        <v>Very high</v>
      </c>
      <c r="G102" s="12" t="str">
        <f>IF(F102="","",IFERROR(INDEX(Bands!$D$3:$D$6,MATCH(F102,Bands!$A$3:$A$6,0)),""))</f>
        <v>Deep golden-brown to medium brown with a reddish tone; edges darkest, centre golden or light brown</v>
      </c>
      <c r="H102" s="12" t="str">
        <f>IF(F102="","",IFERROR(INDEX(Bands!$J$3:$J$6,MATCH(F102,Bands!$A$3:$A$6,0)),""))</f>
        <v>Not pale yellow, which would match a low value, or black and burnt, since very dark chips can have lower acrylamide.</v>
      </c>
      <c r="I102" s="12" t="str">
        <f>IF(F102="","","Ch3_"&amp;TEXT(COUNT($E$2:E102),"000")&amp;"_"&amp;SUBSTITUTE(F102," ","-")&amp;"_"&amp;TEXT(E102,"0")&amp;".jpg")</f>
        <v>Ch3_097_Very-high_3732.jpg</v>
      </c>
    </row>
    <row r="103" spans="1:9" ht="12.75" customHeight="1" x14ac:dyDescent="0.25">
      <c r="A103" s="2"/>
      <c r="B103" s="6" t="s">
        <v>11</v>
      </c>
      <c r="C103" s="9">
        <v>0.98599999999999999</v>
      </c>
      <c r="D103" s="9">
        <v>130.902577912466</v>
      </c>
      <c r="E103" s="11">
        <v>1327.6123520534099</v>
      </c>
      <c r="F103" s="12" t="str">
        <f>IF(NOT(ISNUMBER(E103)),"",IF(E103&lt;Bands!$B$4,"Low",IF(E103&lt;Bands!$B$5,"Medium",IF(E103&lt;Bands!$B$6,"High","Very high"))))</f>
        <v>High</v>
      </c>
      <c r="G103" s="12" t="str">
        <f>IF(F103="","",IFERROR(INDEX(Bands!$D$3:$D$6,MATCH(F103,Bands!$A$3:$A$6,0)),""))</f>
        <v>Golden-brown with a reddish tint, brown edges, somewhat uneven</v>
      </c>
      <c r="H103" s="12" t="str">
        <f>IF(F103="","",IFERROR(INDEX(Bands!$J$3:$J$6,MATCH(F103,Bands!$A$3:$A$6,0)),""))</f>
        <v>Not pale yellow, which would match a low value. Not black or burnt, since very dark chips can have lower acrylamide.</v>
      </c>
      <c r="I103" s="12" t="str">
        <f>IF(F103="","","Ch3_"&amp;TEXT(COUNT($E$2:E103),"000")&amp;"_"&amp;SUBSTITUTE(F103," ","-")&amp;"_"&amp;TEXT(E103,"0")&amp;".jpg")</f>
        <v>Ch3_098_High_1328.jpg</v>
      </c>
    </row>
    <row r="104" spans="1:9" ht="12.75" customHeight="1" x14ac:dyDescent="0.25">
      <c r="A104" s="2"/>
      <c r="B104" s="6" t="s">
        <v>12</v>
      </c>
      <c r="C104" s="9">
        <v>1.0285</v>
      </c>
      <c r="D104" s="9">
        <v>93.685234435350196</v>
      </c>
      <c r="E104" s="11">
        <v>910.89192450510598</v>
      </c>
      <c r="F104" s="12" t="str">
        <f>IF(NOT(ISNUMBER(E104)),"",IF(E104&lt;Bands!$B$4,"Low",IF(E104&lt;Bands!$B$5,"Medium",IF(E104&lt;Bands!$B$6,"High","Very high"))))</f>
        <v>Medium</v>
      </c>
      <c r="G104" s="12" t="str">
        <f>IF(F104="","",IFERROR(INDEX(Bands!$D$3:$D$6,MATCH(F104,Bands!$A$3:$A$6,0)),""))</f>
        <v>Golden yellow with light brown at some edges or small spots</v>
      </c>
      <c r="H104" s="12" t="str">
        <f>IF(F104="","",IFERROR(INDEX(Bands!$J$3:$J$6,MATCH(F104,Bands!$A$3:$A$6,0)),""))</f>
        <v>Not pale yellow (matches a low value) and not deep reddish-brown (matches a high value). Avoid black or burnt chips.</v>
      </c>
      <c r="I104" s="12" t="str">
        <f>IF(F104="","","Ch3_"&amp;TEXT(COUNT($E$2:E104),"000")&amp;"_"&amp;SUBSTITUTE(F104," ","-")&amp;"_"&amp;TEXT(E104,"0")&amp;".jpg")</f>
        <v>Ch3_099_Medium_911.jpg</v>
      </c>
    </row>
    <row r="105" spans="1:9" ht="12.75" customHeight="1" x14ac:dyDescent="0.25">
      <c r="A105" s="2"/>
      <c r="B105" s="6" t="s">
        <v>13</v>
      </c>
      <c r="C105" s="9">
        <v>0.97060000000000002</v>
      </c>
      <c r="D105" s="9">
        <v>138.699306105521</v>
      </c>
      <c r="E105" s="11">
        <v>1429.00583253164</v>
      </c>
      <c r="F105" s="12" t="str">
        <f>IF(NOT(ISNUMBER(E105)),"",IF(E105&lt;Bands!$B$4,"Low",IF(E105&lt;Bands!$B$5,"Medium",IF(E105&lt;Bands!$B$6,"High","Very high"))))</f>
        <v>High</v>
      </c>
      <c r="G105" s="12" t="str">
        <f>IF(F105="","",IFERROR(INDEX(Bands!$D$3:$D$6,MATCH(F105,Bands!$A$3:$A$6,0)),""))</f>
        <v>Golden-brown with a reddish tint, brown edges, somewhat uneven</v>
      </c>
      <c r="H105" s="12" t="str">
        <f>IF(F105="","",IFERROR(INDEX(Bands!$J$3:$J$6,MATCH(F105,Bands!$A$3:$A$6,0)),""))</f>
        <v>Not pale yellow, which would match a low value. Not black or burnt, since very dark chips can have lower acrylamide.</v>
      </c>
      <c r="I105" s="12" t="str">
        <f>IF(F105="","","Ch3_"&amp;TEXT(COUNT($E$2:E105),"000")&amp;"_"&amp;SUBSTITUTE(F105," ","-")&amp;"_"&amp;TEXT(E105,"0")&amp;".jpg")</f>
        <v>Ch3_100_High_1429.jpg</v>
      </c>
    </row>
    <row r="106" spans="1:9" ht="12.75" customHeight="1" x14ac:dyDescent="0.25">
      <c r="A106" s="2"/>
      <c r="B106" s="6" t="s">
        <v>14</v>
      </c>
      <c r="C106" s="9">
        <v>0.96760000000000002</v>
      </c>
      <c r="D106" s="9">
        <v>91.457278497981605</v>
      </c>
      <c r="E106" s="11">
        <v>945.19717339790805</v>
      </c>
      <c r="F106" s="12" t="str">
        <f>IF(NOT(ISNUMBER(E106)),"",IF(E106&lt;Bands!$B$4,"Low",IF(E106&lt;Bands!$B$5,"Medium",IF(E106&lt;Bands!$B$6,"High","Very high"))))</f>
        <v>Medium</v>
      </c>
      <c r="G106" s="12" t="str">
        <f>IF(F106="","",IFERROR(INDEX(Bands!$D$3:$D$6,MATCH(F106,Bands!$A$3:$A$6,0)),""))</f>
        <v>Golden yellow with light brown at some edges or small spots</v>
      </c>
      <c r="H106" s="12" t="str">
        <f>IF(F106="","",IFERROR(INDEX(Bands!$J$3:$J$6,MATCH(F106,Bands!$A$3:$A$6,0)),""))</f>
        <v>Not pale yellow (matches a low value) and not deep reddish-brown (matches a high value). Avoid black or burnt chips.</v>
      </c>
      <c r="I106" s="12" t="str">
        <f>IF(F106="","","Ch3_"&amp;TEXT(COUNT($E$2:E106),"000")&amp;"_"&amp;SUBSTITUTE(F106," ","-")&amp;"_"&amp;TEXT(E106,"0")&amp;".jpg")</f>
        <v>Ch3_101_Medium_945.jpg</v>
      </c>
    </row>
    <row r="107" spans="1:9" ht="12.75" customHeight="1" x14ac:dyDescent="0.25">
      <c r="A107" s="2"/>
      <c r="B107" s="6" t="s">
        <v>15</v>
      </c>
      <c r="C107" s="9">
        <v>1.0302</v>
      </c>
      <c r="D107" s="9">
        <v>52.991757230789403</v>
      </c>
      <c r="E107" s="11">
        <v>514.38319967763005</v>
      </c>
      <c r="F107" s="12" t="str">
        <f>IF(NOT(ISNUMBER(E107)),"",IF(E107&lt;Bands!$B$4,"Low",IF(E107&lt;Bands!$B$5,"Medium",IF(E107&lt;Bands!$B$6,"High","Very high"))))</f>
        <v>Medium</v>
      </c>
      <c r="G107" s="12" t="str">
        <f>IF(F107="","",IFERROR(INDEX(Bands!$D$3:$D$6,MATCH(F107,Bands!$A$3:$A$6,0)),""))</f>
        <v>Golden yellow with light brown at some edges or small spots</v>
      </c>
      <c r="H107" s="12" t="str">
        <f>IF(F107="","",IFERROR(INDEX(Bands!$J$3:$J$6,MATCH(F107,Bands!$A$3:$A$6,0)),""))</f>
        <v>Not pale yellow (matches a low value) and not deep reddish-brown (matches a high value). Avoid black or burnt chips.</v>
      </c>
      <c r="I107" s="12" t="str">
        <f>IF(F107="","","Ch3_"&amp;TEXT(COUNT($E$2:E107),"000")&amp;"_"&amp;SUBSTITUTE(F107," ","-")&amp;"_"&amp;TEXT(E107,"0")&amp;".jpg")</f>
        <v>Ch3_102_Medium_514.jpg</v>
      </c>
    </row>
    <row r="108" spans="1:9" ht="12.75" customHeight="1" x14ac:dyDescent="0.25">
      <c r="A108" s="2"/>
      <c r="B108" s="6" t="s">
        <v>16</v>
      </c>
      <c r="C108" s="9">
        <v>1.0079</v>
      </c>
      <c r="D108" s="9">
        <v>50.371597253360498</v>
      </c>
      <c r="E108" s="11">
        <v>499.767806859416</v>
      </c>
      <c r="F108" s="12" t="str">
        <f>IF(NOT(ISNUMBER(E108)),"",IF(E108&lt;Bands!$B$4,"Low",IF(E108&lt;Bands!$B$5,"Medium",IF(E108&lt;Bands!$B$6,"High","Very high"))))</f>
        <v>Low</v>
      </c>
      <c r="G108" s="12" t="str">
        <f>IF(F108="","",IFERROR(INDEX(Bands!$D$3:$D$6,MATCH(F108,Bands!$A$3:$A$6,0)),""))</f>
        <v>Pale yellow to light golden, even colour, no brown spots</v>
      </c>
      <c r="H108" s="12" t="str">
        <f>IF(F108="","",IFERROR(INDEX(Bands!$J$3:$J$6,MATCH(F108,Bands!$A$3:$A$6,0)),""))</f>
        <v>Not deep golden-brown or reddish-brown (those match higher values). Avoid black or burnt chips.</v>
      </c>
      <c r="I108" s="12" t="str">
        <f>IF(F108="","","Ch3_"&amp;TEXT(COUNT($E$2:E108),"000")&amp;"_"&amp;SUBSTITUTE(F108," ","-")&amp;"_"&amp;TEXT(E108,"0")&amp;".jpg")</f>
        <v>Ch3_103_Low_500.jpg</v>
      </c>
    </row>
    <row r="109" spans="1:9" ht="12.75" customHeight="1" x14ac:dyDescent="0.25">
      <c r="A109" s="2"/>
      <c r="B109" s="6" t="s">
        <v>17</v>
      </c>
      <c r="C109" s="9">
        <v>1.04</v>
      </c>
      <c r="D109" s="9">
        <v>28.152389620321799</v>
      </c>
      <c r="E109" s="11">
        <v>270.69605404155601</v>
      </c>
      <c r="F109" s="12" t="str">
        <f>IF(NOT(ISNUMBER(E109)),"",IF(E109&lt;Bands!$B$4,"Low",IF(E109&lt;Bands!$B$5,"Medium",IF(E109&lt;Bands!$B$6,"High","Very high"))))</f>
        <v>Low</v>
      </c>
      <c r="G109" s="12" t="str">
        <f>IF(F109="","",IFERROR(INDEX(Bands!$D$3:$D$6,MATCH(F109,Bands!$A$3:$A$6,0)),""))</f>
        <v>Pale yellow to light golden, even colour, no brown spots</v>
      </c>
      <c r="H109" s="12" t="str">
        <f>IF(F109="","",IFERROR(INDEX(Bands!$J$3:$J$6,MATCH(F109,Bands!$A$3:$A$6,0)),""))</f>
        <v>Not deep golden-brown or reddish-brown (those match higher values). Avoid black or burnt chips.</v>
      </c>
      <c r="I109" s="12" t="str">
        <f>IF(F109="","","Ch3_"&amp;TEXT(COUNT($E$2:E109),"000")&amp;"_"&amp;SUBSTITUTE(F109," ","-")&amp;"_"&amp;TEXT(E109,"0")&amp;".jpg")</f>
        <v>Ch3_104_Low_271.jpg</v>
      </c>
    </row>
    <row r="110" spans="1:9" ht="12.75" customHeight="1" x14ac:dyDescent="0.25">
      <c r="A110" s="2"/>
      <c r="B110" s="6" t="s">
        <v>18</v>
      </c>
      <c r="C110" s="9">
        <v>1.0103</v>
      </c>
      <c r="D110" s="9">
        <v>31.312286064653101</v>
      </c>
      <c r="E110" s="11">
        <v>309.93057571665003</v>
      </c>
      <c r="F110" s="12" t="str">
        <f>IF(NOT(ISNUMBER(E110)),"",IF(E110&lt;Bands!$B$4,"Low",IF(E110&lt;Bands!$B$5,"Medium",IF(E110&lt;Bands!$B$6,"High","Very high"))))</f>
        <v>Low</v>
      </c>
      <c r="G110" s="12" t="str">
        <f>IF(F110="","",IFERROR(INDEX(Bands!$D$3:$D$6,MATCH(F110,Bands!$A$3:$A$6,0)),""))</f>
        <v>Pale yellow to light golden, even colour, no brown spots</v>
      </c>
      <c r="H110" s="12" t="str">
        <f>IF(F110="","",IFERROR(INDEX(Bands!$J$3:$J$6,MATCH(F110,Bands!$A$3:$A$6,0)),""))</f>
        <v>Not deep golden-brown or reddish-brown (those match higher values). Avoid black or burnt chips.</v>
      </c>
      <c r="I110" s="12" t="str">
        <f>IF(F110="","","Ch3_"&amp;TEXT(COUNT($E$2:E110),"000")&amp;"_"&amp;SUBSTITUTE(F110," ","-")&amp;"_"&amp;TEXT(E110,"0")&amp;".jpg")</f>
        <v>Ch3_105_Low_310.jpg</v>
      </c>
    </row>
    <row r="111" spans="1:9" ht="12.75" customHeight="1" x14ac:dyDescent="0.25">
      <c r="A111" s="2"/>
      <c r="B111" s="6" t="s">
        <v>19</v>
      </c>
      <c r="C111" s="9">
        <v>1.0194000000000001</v>
      </c>
      <c r="D111" s="9">
        <v>62.432928675741202</v>
      </c>
      <c r="E111" s="11">
        <v>612.44779944811796</v>
      </c>
      <c r="F111" s="12" t="str">
        <f>IF(NOT(ISNUMBER(E111)),"",IF(E111&lt;Bands!$B$4,"Low",IF(E111&lt;Bands!$B$5,"Medium",IF(E111&lt;Bands!$B$6,"High","Very high"))))</f>
        <v>Medium</v>
      </c>
      <c r="G111" s="12" t="str">
        <f>IF(F111="","",IFERROR(INDEX(Bands!$D$3:$D$6,MATCH(F111,Bands!$A$3:$A$6,0)),""))</f>
        <v>Golden yellow with light brown at some edges or small spots</v>
      </c>
      <c r="H111" s="12" t="str">
        <f>IF(F111="","",IFERROR(INDEX(Bands!$J$3:$J$6,MATCH(F111,Bands!$A$3:$A$6,0)),""))</f>
        <v>Not pale yellow (matches a low value) and not deep reddish-brown (matches a high value). Avoid black or burnt chips.</v>
      </c>
      <c r="I111" s="12" t="str">
        <f>IF(F111="","","Ch3_"&amp;TEXT(COUNT($E$2:E111),"000")&amp;"_"&amp;SUBSTITUTE(F111," ","-")&amp;"_"&amp;TEXT(E111,"0")&amp;".jpg")</f>
        <v>Ch3_106_Medium_612.jpg</v>
      </c>
    </row>
    <row r="112" spans="1:9" ht="12.75" customHeight="1" x14ac:dyDescent="0.25">
      <c r="A112" s="2"/>
      <c r="B112" s="6" t="s">
        <v>20</v>
      </c>
      <c r="C112" s="9">
        <v>1.0170999999999999</v>
      </c>
      <c r="D112" s="9">
        <v>67.147941883768993</v>
      </c>
      <c r="E112" s="11">
        <v>660.19016698229302</v>
      </c>
      <c r="F112" s="12" t="str">
        <f>IF(NOT(ISNUMBER(E112)),"",IF(E112&lt;Bands!$B$4,"Low",IF(E112&lt;Bands!$B$5,"Medium",IF(E112&lt;Bands!$B$6,"High","Very high"))))</f>
        <v>Medium</v>
      </c>
      <c r="G112" s="12" t="str">
        <f>IF(F112="","",IFERROR(INDEX(Bands!$D$3:$D$6,MATCH(F112,Bands!$A$3:$A$6,0)),""))</f>
        <v>Golden yellow with light brown at some edges or small spots</v>
      </c>
      <c r="H112" s="12" t="str">
        <f>IF(F112="","",IFERROR(INDEX(Bands!$J$3:$J$6,MATCH(F112,Bands!$A$3:$A$6,0)),""))</f>
        <v>Not pale yellow (matches a low value) and not deep reddish-brown (matches a high value). Avoid black or burnt chips.</v>
      </c>
      <c r="I112" s="12" t="str">
        <f>IF(F112="","","Ch3_"&amp;TEXT(COUNT($E$2:E112),"000")&amp;"_"&amp;SUBSTITUTE(F112," ","-")&amp;"_"&amp;TEXT(E112,"0")&amp;".jpg")</f>
        <v>Ch3_107_Medium_660.jpg</v>
      </c>
    </row>
    <row r="113" spans="1:9" ht="12.75" customHeight="1" x14ac:dyDescent="0.25">
      <c r="A113" s="2"/>
      <c r="B113" s="6" t="s">
        <v>21</v>
      </c>
      <c r="C113" s="9">
        <v>1.0118</v>
      </c>
      <c r="D113" s="9">
        <v>58.2377148816621</v>
      </c>
      <c r="E113" s="11">
        <v>575.58524294981305</v>
      </c>
      <c r="F113" s="12" t="str">
        <f>IF(NOT(ISNUMBER(E113)),"",IF(E113&lt;Bands!$B$4,"Low",IF(E113&lt;Bands!$B$5,"Medium",IF(E113&lt;Bands!$B$6,"High","Very high"))))</f>
        <v>Medium</v>
      </c>
      <c r="G113" s="12" t="str">
        <f>IF(F113="","",IFERROR(INDEX(Bands!$D$3:$D$6,MATCH(F113,Bands!$A$3:$A$6,0)),""))</f>
        <v>Golden yellow with light brown at some edges or small spots</v>
      </c>
      <c r="H113" s="12" t="str">
        <f>IF(F113="","",IFERROR(INDEX(Bands!$J$3:$J$6,MATCH(F113,Bands!$A$3:$A$6,0)),""))</f>
        <v>Not pale yellow (matches a low value) and not deep reddish-brown (matches a high value). Avoid black or burnt chips.</v>
      </c>
      <c r="I113" s="12" t="str">
        <f>IF(F113="","","Ch3_"&amp;TEXT(COUNT($E$2:E113),"000")&amp;"_"&amp;SUBSTITUTE(F113," ","-")&amp;"_"&amp;TEXT(E113,"0")&amp;".jpg")</f>
        <v>Ch3_108_Medium_576.jpg</v>
      </c>
    </row>
    <row r="114" spans="1:9" ht="12.75" customHeight="1" x14ac:dyDescent="0.25">
      <c r="A114" s="2"/>
      <c r="B114" s="6" t="s">
        <v>22</v>
      </c>
      <c r="C114" s="9">
        <v>1.002</v>
      </c>
      <c r="D114" s="9">
        <v>158.938787130371</v>
      </c>
      <c r="E114" s="11">
        <v>1586.21544042286</v>
      </c>
      <c r="F114" s="12" t="str">
        <f>IF(NOT(ISNUMBER(E114)),"",IF(E114&lt;Bands!$B$4,"Low",IF(E114&lt;Bands!$B$5,"Medium",IF(E114&lt;Bands!$B$6,"High","Very high"))))</f>
        <v>High</v>
      </c>
      <c r="G114" s="12" t="str">
        <f>IF(F114="","",IFERROR(INDEX(Bands!$D$3:$D$6,MATCH(F114,Bands!$A$3:$A$6,0)),""))</f>
        <v>Golden-brown with a reddish tint, brown edges, somewhat uneven</v>
      </c>
      <c r="H114" s="12" t="str">
        <f>IF(F114="","",IFERROR(INDEX(Bands!$J$3:$J$6,MATCH(F114,Bands!$A$3:$A$6,0)),""))</f>
        <v>Not pale yellow, which would match a low value. Not black or burnt, since very dark chips can have lower acrylamide.</v>
      </c>
      <c r="I114" s="12" t="str">
        <f>IF(F114="","","Ch3_"&amp;TEXT(COUNT($E$2:E114),"000")&amp;"_"&amp;SUBSTITUTE(F114," ","-")&amp;"_"&amp;TEXT(E114,"0")&amp;".jpg")</f>
        <v>Ch3_109_High_1586.jpg</v>
      </c>
    </row>
    <row r="115" spans="1:9" ht="12.75" customHeight="1" x14ac:dyDescent="0.25">
      <c r="A115" s="2"/>
      <c r="B115" s="6" t="s">
        <v>23</v>
      </c>
      <c r="C115" s="9">
        <v>1.0106999999999999</v>
      </c>
      <c r="D115" s="9">
        <v>114.00955461273099</v>
      </c>
      <c r="E115" s="11">
        <v>1128.0256714428699</v>
      </c>
      <c r="F115" s="12" t="str">
        <f>IF(NOT(ISNUMBER(E115)),"",IF(E115&lt;Bands!$B$4,"Low",IF(E115&lt;Bands!$B$5,"Medium",IF(E115&lt;Bands!$B$6,"High","Very high"))))</f>
        <v>High</v>
      </c>
      <c r="G115" s="12" t="str">
        <f>IF(F115="","",IFERROR(INDEX(Bands!$D$3:$D$6,MATCH(F115,Bands!$A$3:$A$6,0)),""))</f>
        <v>Golden-brown with a reddish tint, brown edges, somewhat uneven</v>
      </c>
      <c r="H115" s="12" t="str">
        <f>IF(F115="","",IFERROR(INDEX(Bands!$J$3:$J$6,MATCH(F115,Bands!$A$3:$A$6,0)),""))</f>
        <v>Not pale yellow, which would match a low value. Not black or burnt, since very dark chips can have lower acrylamide.</v>
      </c>
      <c r="I115" s="12" t="str">
        <f>IF(F115="","","Ch3_"&amp;TEXT(COUNT($E$2:E115),"000")&amp;"_"&amp;SUBSTITUTE(F115," ","-")&amp;"_"&amp;TEXT(E115,"0")&amp;".jpg")</f>
        <v>Ch3_110_High_1128.jpg</v>
      </c>
    </row>
    <row r="116" spans="1:9" ht="12.75" customHeight="1" x14ac:dyDescent="0.25">
      <c r="A116" s="2"/>
      <c r="B116" s="6" t="s">
        <v>24</v>
      </c>
      <c r="C116" s="9">
        <v>0.96009999999999995</v>
      </c>
      <c r="D116" s="9">
        <v>73.0575539628949</v>
      </c>
      <c r="E116" s="11">
        <v>760.93692285069199</v>
      </c>
      <c r="F116" s="12" t="str">
        <f>IF(NOT(ISNUMBER(E116)),"",IF(E116&lt;Bands!$B$4,"Low",IF(E116&lt;Bands!$B$5,"Medium",IF(E116&lt;Bands!$B$6,"High","Very high"))))</f>
        <v>Medium</v>
      </c>
      <c r="G116" s="12" t="str">
        <f>IF(F116="","",IFERROR(INDEX(Bands!$D$3:$D$6,MATCH(F116,Bands!$A$3:$A$6,0)),""))</f>
        <v>Golden yellow with light brown at some edges or small spots</v>
      </c>
      <c r="H116" s="12" t="str">
        <f>IF(F116="","",IFERROR(INDEX(Bands!$J$3:$J$6,MATCH(F116,Bands!$A$3:$A$6,0)),""))</f>
        <v>Not pale yellow (matches a low value) and not deep reddish-brown (matches a high value). Avoid black or burnt chips.</v>
      </c>
      <c r="I116" s="12" t="str">
        <f>IF(F116="","","Ch3_"&amp;TEXT(COUNT($E$2:E116),"000")&amp;"_"&amp;SUBSTITUTE(F116," ","-")&amp;"_"&amp;TEXT(E116,"0")&amp;".jpg")</f>
        <v>Ch3_111_Medium_761.jpg</v>
      </c>
    </row>
    <row r="117" spans="1:9" ht="12.75" customHeight="1" x14ac:dyDescent="0.25">
      <c r="A117" s="2"/>
      <c r="B117" s="6" t="s">
        <v>25</v>
      </c>
      <c r="C117" s="9">
        <v>0.97740000000000005</v>
      </c>
      <c r="D117" s="9">
        <v>85.400021010891805</v>
      </c>
      <c r="E117" s="11">
        <v>873.74688981882298</v>
      </c>
      <c r="F117" s="12" t="str">
        <f>IF(NOT(ISNUMBER(E117)),"",IF(E117&lt;Bands!$B$4,"Low",IF(E117&lt;Bands!$B$5,"Medium",IF(E117&lt;Bands!$B$6,"High","Very high"))))</f>
        <v>Medium</v>
      </c>
      <c r="G117" s="12" t="str">
        <f>IF(F117="","",IFERROR(INDEX(Bands!$D$3:$D$6,MATCH(F117,Bands!$A$3:$A$6,0)),""))</f>
        <v>Golden yellow with light brown at some edges or small spots</v>
      </c>
      <c r="H117" s="12" t="str">
        <f>IF(F117="","",IFERROR(INDEX(Bands!$J$3:$J$6,MATCH(F117,Bands!$A$3:$A$6,0)),""))</f>
        <v>Not pale yellow (matches a low value) and not deep reddish-brown (matches a high value). Avoid black or burnt chips.</v>
      </c>
      <c r="I117" s="12" t="str">
        <f>IF(F117="","","Ch3_"&amp;TEXT(COUNT($E$2:E117),"000")&amp;"_"&amp;SUBSTITUTE(F117," ","-")&amp;"_"&amp;TEXT(E117,"0")&amp;".jpg")</f>
        <v>Ch3_112_Medium_874.jpg</v>
      </c>
    </row>
    <row r="118" spans="1:9" ht="12.75" customHeight="1" x14ac:dyDescent="0.25">
      <c r="A118" s="2"/>
      <c r="B118" s="6" t="s">
        <v>26</v>
      </c>
      <c r="C118" s="9">
        <v>1.0383</v>
      </c>
      <c r="D118" s="9">
        <v>95.529221233262703</v>
      </c>
      <c r="E118" s="11">
        <v>920.05413881597497</v>
      </c>
      <c r="F118" s="12" t="str">
        <f>IF(NOT(ISNUMBER(E118)),"",IF(E118&lt;Bands!$B$4,"Low",IF(E118&lt;Bands!$B$5,"Medium",IF(E118&lt;Bands!$B$6,"High","Very high"))))</f>
        <v>Medium</v>
      </c>
      <c r="G118" s="12" t="str">
        <f>IF(F118="","",IFERROR(INDEX(Bands!$D$3:$D$6,MATCH(F118,Bands!$A$3:$A$6,0)),""))</f>
        <v>Golden yellow with light brown at some edges or small spots</v>
      </c>
      <c r="H118" s="12" t="str">
        <f>IF(F118="","",IFERROR(INDEX(Bands!$J$3:$J$6,MATCH(F118,Bands!$A$3:$A$6,0)),""))</f>
        <v>Not pale yellow (matches a low value) and not deep reddish-brown (matches a high value). Avoid black or burnt chips.</v>
      </c>
      <c r="I118" s="12" t="str">
        <f>IF(F118="","","Ch3_"&amp;TEXT(COUNT($E$2:E118),"000")&amp;"_"&amp;SUBSTITUTE(F118," ","-")&amp;"_"&amp;TEXT(E118,"0")&amp;".jpg")</f>
        <v>Ch3_113_Medium_920.jpg</v>
      </c>
    </row>
    <row r="119" spans="1:9" ht="12.75" customHeight="1" x14ac:dyDescent="0.25">
      <c r="A119" s="2"/>
      <c r="B119" s="6" t="s">
        <v>27</v>
      </c>
      <c r="C119" s="9">
        <v>1.0216000000000001</v>
      </c>
      <c r="D119" s="9">
        <v>53.355863977118197</v>
      </c>
      <c r="E119" s="11">
        <v>522.27744691775797</v>
      </c>
      <c r="F119" s="12" t="str">
        <f>IF(NOT(ISNUMBER(E119)),"",IF(E119&lt;Bands!$B$4,"Low",IF(E119&lt;Bands!$B$5,"Medium",IF(E119&lt;Bands!$B$6,"High","Very high"))))</f>
        <v>Medium</v>
      </c>
      <c r="G119" s="12" t="str">
        <f>IF(F119="","",IFERROR(INDEX(Bands!$D$3:$D$6,MATCH(F119,Bands!$A$3:$A$6,0)),""))</f>
        <v>Golden yellow with light brown at some edges or small spots</v>
      </c>
      <c r="H119" s="12" t="str">
        <f>IF(F119="","",IFERROR(INDEX(Bands!$J$3:$J$6,MATCH(F119,Bands!$A$3:$A$6,0)),""))</f>
        <v>Not pale yellow (matches a low value) and not deep reddish-brown (matches a high value). Avoid black or burnt chips.</v>
      </c>
      <c r="I119" s="12" t="str">
        <f>IF(F119="","","Ch3_"&amp;TEXT(COUNT($E$2:E119),"000")&amp;"_"&amp;SUBSTITUTE(F119," ","-")&amp;"_"&amp;TEXT(E119,"0")&amp;".jpg")</f>
        <v>Ch3_114_Medium_522.jpg</v>
      </c>
    </row>
    <row r="120" spans="1:9" ht="12.75" customHeight="1" x14ac:dyDescent="0.25">
      <c r="A120" s="2"/>
      <c r="B120" s="6" t="s">
        <v>28</v>
      </c>
      <c r="C120" s="9">
        <v>0.98939999999999995</v>
      </c>
      <c r="D120" s="9">
        <v>69.129615335677201</v>
      </c>
      <c r="E120" s="11">
        <v>698.70239878388099</v>
      </c>
      <c r="F120" s="12" t="str">
        <f>IF(NOT(ISNUMBER(E120)),"",IF(E120&lt;Bands!$B$4,"Low",IF(E120&lt;Bands!$B$5,"Medium",IF(E120&lt;Bands!$B$6,"High","Very high"))))</f>
        <v>Medium</v>
      </c>
      <c r="G120" s="12" t="str">
        <f>IF(F120="","",IFERROR(INDEX(Bands!$D$3:$D$6,MATCH(F120,Bands!$A$3:$A$6,0)),""))</f>
        <v>Golden yellow with light brown at some edges or small spots</v>
      </c>
      <c r="H120" s="12" t="str">
        <f>IF(F120="","",IFERROR(INDEX(Bands!$J$3:$J$6,MATCH(F120,Bands!$A$3:$A$6,0)),""))</f>
        <v>Not pale yellow (matches a low value) and not deep reddish-brown (matches a high value). Avoid black or burnt chips.</v>
      </c>
      <c r="I120" s="12" t="str">
        <f>IF(F120="","","Ch3_"&amp;TEXT(COUNT($E$2:E120),"000")&amp;"_"&amp;SUBSTITUTE(F120," ","-")&amp;"_"&amp;TEXT(E120,"0")&amp;".jpg")</f>
        <v>Ch3_115_Medium_699.jpg</v>
      </c>
    </row>
    <row r="121" spans="1:9" ht="12.75" customHeight="1" x14ac:dyDescent="0.25">
      <c r="A121" s="2"/>
      <c r="B121" s="6" t="s">
        <v>29</v>
      </c>
      <c r="C121" s="9">
        <v>0.96020000000000005</v>
      </c>
      <c r="D121" s="9">
        <v>108.461690031529</v>
      </c>
      <c r="E121" s="11">
        <v>1129.5739432569201</v>
      </c>
      <c r="F121" s="12" t="str">
        <f>IF(NOT(ISNUMBER(E121)),"",IF(E121&lt;Bands!$B$4,"Low",IF(E121&lt;Bands!$B$5,"Medium",IF(E121&lt;Bands!$B$6,"High","Very high"))))</f>
        <v>High</v>
      </c>
      <c r="G121" s="12" t="str">
        <f>IF(F121="","",IFERROR(INDEX(Bands!$D$3:$D$6,MATCH(F121,Bands!$A$3:$A$6,0)),""))</f>
        <v>Golden-brown with a reddish tint, brown edges, somewhat uneven</v>
      </c>
      <c r="H121" s="12" t="str">
        <f>IF(F121="","",IFERROR(INDEX(Bands!$J$3:$J$6,MATCH(F121,Bands!$A$3:$A$6,0)),""))</f>
        <v>Not pale yellow, which would match a low value. Not black or burnt, since very dark chips can have lower acrylamide.</v>
      </c>
      <c r="I121" s="12" t="str">
        <f>IF(F121="","","Ch3_"&amp;TEXT(COUNT($E$2:E121),"000")&amp;"_"&amp;SUBSTITUTE(F121," ","-")&amp;"_"&amp;TEXT(E121,"0")&amp;".jpg")</f>
        <v>Ch3_116_High_1130.jpg</v>
      </c>
    </row>
    <row r="122" spans="1:9" ht="12.75" customHeight="1" x14ac:dyDescent="0.25">
      <c r="A122" s="2"/>
      <c r="B122" s="6" t="s">
        <v>30</v>
      </c>
      <c r="C122" s="9">
        <v>0.9607</v>
      </c>
      <c r="D122" s="9">
        <v>107.57568781650799</v>
      </c>
      <c r="E122" s="11">
        <v>1119.7635871396701</v>
      </c>
      <c r="F122" s="12" t="str">
        <f>IF(NOT(ISNUMBER(E122)),"",IF(E122&lt;Bands!$B$4,"Low",IF(E122&lt;Bands!$B$5,"Medium",IF(E122&lt;Bands!$B$6,"High","Very high"))))</f>
        <v>High</v>
      </c>
      <c r="G122" s="12" t="str">
        <f>IF(F122="","",IFERROR(INDEX(Bands!$D$3:$D$6,MATCH(F122,Bands!$A$3:$A$6,0)),""))</f>
        <v>Golden-brown with a reddish tint, brown edges, somewhat uneven</v>
      </c>
      <c r="H122" s="12" t="str">
        <f>IF(F122="","",IFERROR(INDEX(Bands!$J$3:$J$6,MATCH(F122,Bands!$A$3:$A$6,0)),""))</f>
        <v>Not pale yellow, which would match a low value. Not black or burnt, since very dark chips can have lower acrylamide.</v>
      </c>
      <c r="I122" s="12" t="str">
        <f>IF(F122="","","Ch3_"&amp;TEXT(COUNT($E$2:E122),"000")&amp;"_"&amp;SUBSTITUTE(F122," ","-")&amp;"_"&amp;TEXT(E122,"0")&amp;".jpg")</f>
        <v>Ch3_117_High_1120.jpg</v>
      </c>
    </row>
    <row r="123" spans="1:9" ht="12.75" customHeight="1" x14ac:dyDescent="0.25">
      <c r="A123" s="2"/>
      <c r="B123" s="6" t="s">
        <v>31</v>
      </c>
      <c r="C123" s="9">
        <v>1.0318000000000001</v>
      </c>
      <c r="D123" s="9">
        <v>58.96825685436</v>
      </c>
      <c r="E123" s="11">
        <v>571.50859521574</v>
      </c>
      <c r="F123" s="12" t="str">
        <f>IF(NOT(ISNUMBER(E123)),"",IF(E123&lt;Bands!$B$4,"Low",IF(E123&lt;Bands!$B$5,"Medium",IF(E123&lt;Bands!$B$6,"High","Very high"))))</f>
        <v>Medium</v>
      </c>
      <c r="G123" s="12" t="str">
        <f>IF(F123="","",IFERROR(INDEX(Bands!$D$3:$D$6,MATCH(F123,Bands!$A$3:$A$6,0)),""))</f>
        <v>Golden yellow with light brown at some edges or small spots</v>
      </c>
      <c r="H123" s="12" t="str">
        <f>IF(F123="","",IFERROR(INDEX(Bands!$J$3:$J$6,MATCH(F123,Bands!$A$3:$A$6,0)),""))</f>
        <v>Not pale yellow (matches a low value) and not deep reddish-brown (matches a high value). Avoid black or burnt chips.</v>
      </c>
      <c r="I123" s="12" t="str">
        <f>IF(F123="","","Ch3_"&amp;TEXT(COUNT($E$2:E123),"000")&amp;"_"&amp;SUBSTITUTE(F123," ","-")&amp;"_"&amp;TEXT(E123,"0")&amp;".jpg")</f>
        <v>Ch3_118_Medium_572.jpg</v>
      </c>
    </row>
    <row r="124" spans="1:9" ht="12.75" customHeight="1" x14ac:dyDescent="0.25">
      <c r="A124" s="2"/>
      <c r="B124" s="6" t="s">
        <v>32</v>
      </c>
      <c r="C124" s="9">
        <v>1.0215000000000001</v>
      </c>
      <c r="D124" s="9">
        <v>34.918913333268499</v>
      </c>
      <c r="E124" s="11">
        <v>341.839582312956</v>
      </c>
      <c r="F124" s="12" t="str">
        <f>IF(NOT(ISNUMBER(E124)),"",IF(E124&lt;Bands!$B$4,"Low",IF(E124&lt;Bands!$B$5,"Medium",IF(E124&lt;Bands!$B$6,"High","Very high"))))</f>
        <v>Low</v>
      </c>
      <c r="G124" s="12" t="str">
        <f>IF(F124="","",IFERROR(INDEX(Bands!$D$3:$D$6,MATCH(F124,Bands!$A$3:$A$6,0)),""))</f>
        <v>Pale yellow to light golden, even colour, no brown spots</v>
      </c>
      <c r="H124" s="12" t="str">
        <f>IF(F124="","",IFERROR(INDEX(Bands!$J$3:$J$6,MATCH(F124,Bands!$A$3:$A$6,0)),""))</f>
        <v>Not deep golden-brown or reddish-brown (those match higher values). Avoid black or burnt chips.</v>
      </c>
      <c r="I124" s="12" t="str">
        <f>IF(F124="","","Ch3_"&amp;TEXT(COUNT($E$2:E124),"000")&amp;"_"&amp;SUBSTITUTE(F124," ","-")&amp;"_"&amp;TEXT(E124,"0")&amp;".jpg")</f>
        <v>Ch3_119_Low_342.jpg</v>
      </c>
    </row>
    <row r="125" spans="1:9" ht="12.75" customHeight="1" x14ac:dyDescent="0.25">
      <c r="A125" s="2"/>
      <c r="B125" s="6" t="s">
        <v>33</v>
      </c>
      <c r="C125" s="9">
        <v>1.0498000000000001</v>
      </c>
      <c r="D125" s="9">
        <v>77.055211389563695</v>
      </c>
      <c r="E125" s="11">
        <v>733.99896541782903</v>
      </c>
      <c r="F125" s="12" t="str">
        <f>IF(NOT(ISNUMBER(E125)),"",IF(E125&lt;Bands!$B$4,"Low",IF(E125&lt;Bands!$B$5,"Medium",IF(E125&lt;Bands!$B$6,"High","Very high"))))</f>
        <v>Medium</v>
      </c>
      <c r="G125" s="12" t="str">
        <f>IF(F125="","",IFERROR(INDEX(Bands!$D$3:$D$6,MATCH(F125,Bands!$A$3:$A$6,0)),""))</f>
        <v>Golden yellow with light brown at some edges or small spots</v>
      </c>
      <c r="H125" s="12" t="str">
        <f>IF(F125="","",IFERROR(INDEX(Bands!$J$3:$J$6,MATCH(F125,Bands!$A$3:$A$6,0)),""))</f>
        <v>Not pale yellow (matches a low value) and not deep reddish-brown (matches a high value). Avoid black or burnt chips.</v>
      </c>
      <c r="I125" s="12" t="str">
        <f>IF(F125="","","Ch3_"&amp;TEXT(COUNT($E$2:E125),"000")&amp;"_"&amp;SUBSTITUTE(F125," ","-")&amp;"_"&amp;TEXT(E125,"0")&amp;".jpg")</f>
        <v>Ch3_120_Medium_734.jpg</v>
      </c>
    </row>
    <row r="126" spans="1:9" ht="12.75" customHeight="1" x14ac:dyDescent="0.25">
      <c r="C126" s="9"/>
      <c r="D126" s="9"/>
      <c r="E126" s="11"/>
    </row>
    <row r="127" spans="1:9" ht="12.75" customHeight="1" x14ac:dyDescent="0.25">
      <c r="A127" s="2" t="s">
        <v>44</v>
      </c>
      <c r="B127" s="4" t="s">
        <v>10</v>
      </c>
      <c r="C127" s="9">
        <v>1.0331999999999999</v>
      </c>
      <c r="D127" s="9">
        <v>274.25306825604002</v>
      </c>
      <c r="E127" s="11">
        <v>2654.40445466551</v>
      </c>
      <c r="F127" s="12" t="str">
        <f>IF(NOT(ISNUMBER(E127)),"",IF(E127&lt;Bands!$B$4,"Low",IF(E127&lt;Bands!$B$5,"Medium",IF(E127&lt;Bands!$B$6,"High","Very high"))))</f>
        <v>Very high</v>
      </c>
      <c r="G127" s="12" t="str">
        <f>IF(F127="","",IFERROR(INDEX(Bands!$D$3:$D$6,MATCH(F127,Bands!$A$3:$A$6,0)),""))</f>
        <v>Deep golden-brown to medium brown with a reddish tone; edges darkest, centre golden or light brown</v>
      </c>
      <c r="H127" s="12" t="str">
        <f>IF(F127="","",IFERROR(INDEX(Bands!$J$3:$J$6,MATCH(F127,Bands!$A$3:$A$6,0)),""))</f>
        <v>Not pale yellow, which would match a low value, or black and burnt, since very dark chips can have lower acrylamide.</v>
      </c>
      <c r="I127" s="12" t="str">
        <f>IF(F127="","","Ch3_"&amp;TEXT(COUNT($E$2:E127),"000")&amp;"_"&amp;SUBSTITUTE(F127," ","-")&amp;"_"&amp;TEXT(E127,"0")&amp;".jpg")</f>
        <v>Ch3_121_Very-high_2654.jpg</v>
      </c>
    </row>
    <row r="128" spans="1:9" ht="12.75" customHeight="1" x14ac:dyDescent="0.25">
      <c r="A128" s="2"/>
      <c r="B128" s="4" t="s">
        <v>11</v>
      </c>
      <c r="C128" s="9">
        <v>0.98740000000000006</v>
      </c>
      <c r="D128" s="9">
        <v>17.097592445143999</v>
      </c>
      <c r="E128" s="11">
        <v>173.15771161782499</v>
      </c>
      <c r="F128" s="12" t="str">
        <f>IF(NOT(ISNUMBER(E128)),"",IF(E128&lt;Bands!$B$4,"Low",IF(E128&lt;Bands!$B$5,"Medium",IF(E128&lt;Bands!$B$6,"High","Very high"))))</f>
        <v>Low</v>
      </c>
      <c r="G128" s="12" t="str">
        <f>IF(F128="","",IFERROR(INDEX(Bands!$D$3:$D$6,MATCH(F128,Bands!$A$3:$A$6,0)),""))</f>
        <v>Pale yellow to light golden, even colour, no brown spots</v>
      </c>
      <c r="H128" s="12" t="str">
        <f>IF(F128="","",IFERROR(INDEX(Bands!$J$3:$J$6,MATCH(F128,Bands!$A$3:$A$6,0)),""))</f>
        <v>Not deep golden-brown or reddish-brown (those match higher values). Avoid black or burnt chips.</v>
      </c>
      <c r="I128" s="12" t="str">
        <f>IF(F128="","","Ch3_"&amp;TEXT(COUNT($E$2:E128),"000")&amp;"_"&amp;SUBSTITUTE(F128," ","-")&amp;"_"&amp;TEXT(E128,"0")&amp;".jpg")</f>
        <v>Ch3_122_Low_173.jpg</v>
      </c>
    </row>
    <row r="129" spans="1:9" ht="12.75" customHeight="1" x14ac:dyDescent="0.25">
      <c r="A129" s="2"/>
      <c r="B129" s="4" t="s">
        <v>12</v>
      </c>
      <c r="C129" s="9">
        <v>0.98299999999999998</v>
      </c>
      <c r="D129" s="9">
        <v>59.007355753987902</v>
      </c>
      <c r="E129" s="11">
        <v>600.27828844341695</v>
      </c>
      <c r="F129" s="12" t="str">
        <f>IF(NOT(ISNUMBER(E129)),"",IF(E129&lt;Bands!$B$4,"Low",IF(E129&lt;Bands!$B$5,"Medium",IF(E129&lt;Bands!$B$6,"High","Very high"))))</f>
        <v>Medium</v>
      </c>
      <c r="G129" s="12" t="str">
        <f>IF(F129="","",IFERROR(INDEX(Bands!$D$3:$D$6,MATCH(F129,Bands!$A$3:$A$6,0)),""))</f>
        <v>Golden yellow with light brown at some edges or small spots</v>
      </c>
      <c r="H129" s="12" t="str">
        <f>IF(F129="","",IFERROR(INDEX(Bands!$J$3:$J$6,MATCH(F129,Bands!$A$3:$A$6,0)),""))</f>
        <v>Not pale yellow (matches a low value) and not deep reddish-brown (matches a high value). Avoid black or burnt chips.</v>
      </c>
      <c r="I129" s="12" t="str">
        <f>IF(F129="","","Ch3_"&amp;TEXT(COUNT($E$2:E129),"000")&amp;"_"&amp;SUBSTITUTE(F129," ","-")&amp;"_"&amp;TEXT(E129,"0")&amp;".jpg")</f>
        <v>Ch3_123_Medium_600.jpg</v>
      </c>
    </row>
    <row r="130" spans="1:9" ht="12.75" customHeight="1" x14ac:dyDescent="0.25">
      <c r="A130" s="2"/>
      <c r="B130" s="4" t="s">
        <v>13</v>
      </c>
      <c r="C130" s="9">
        <v>0.9788</v>
      </c>
      <c r="D130" s="9">
        <v>67.239817843725604</v>
      </c>
      <c r="E130" s="11">
        <v>686.961767917099</v>
      </c>
      <c r="F130" s="12" t="str">
        <f>IF(NOT(ISNUMBER(E130)),"",IF(E130&lt;Bands!$B$4,"Low",IF(E130&lt;Bands!$B$5,"Medium",IF(E130&lt;Bands!$B$6,"High","Very high"))))</f>
        <v>Medium</v>
      </c>
      <c r="G130" s="12" t="str">
        <f>IF(F130="","",IFERROR(INDEX(Bands!$D$3:$D$6,MATCH(F130,Bands!$A$3:$A$6,0)),""))</f>
        <v>Golden yellow with light brown at some edges or small spots</v>
      </c>
      <c r="H130" s="12" t="str">
        <f>IF(F130="","",IFERROR(INDEX(Bands!$J$3:$J$6,MATCH(F130,Bands!$A$3:$A$6,0)),""))</f>
        <v>Not pale yellow (matches a low value) and not deep reddish-brown (matches a high value). Avoid black or burnt chips.</v>
      </c>
      <c r="I130" s="12" t="str">
        <f>IF(F130="","","Ch3_"&amp;TEXT(COUNT($E$2:E130),"000")&amp;"_"&amp;SUBSTITUTE(F130," ","-")&amp;"_"&amp;TEXT(E130,"0")&amp;".jpg")</f>
        <v>Ch3_124_Medium_687.jpg</v>
      </c>
    </row>
    <row r="131" spans="1:9" ht="12.75" customHeight="1" x14ac:dyDescent="0.25">
      <c r="A131" s="2"/>
      <c r="B131" s="4" t="s">
        <v>14</v>
      </c>
      <c r="C131" s="9">
        <v>1.0169999999999999</v>
      </c>
      <c r="D131" s="9">
        <v>83.471040385930706</v>
      </c>
      <c r="E131" s="11">
        <v>820.757525918689</v>
      </c>
      <c r="F131" s="12" t="str">
        <f>IF(NOT(ISNUMBER(E131)),"",IF(E131&lt;Bands!$B$4,"Low",IF(E131&lt;Bands!$B$5,"Medium",IF(E131&lt;Bands!$B$6,"High","Very high"))))</f>
        <v>Medium</v>
      </c>
      <c r="G131" s="12" t="str">
        <f>IF(F131="","",IFERROR(INDEX(Bands!$D$3:$D$6,MATCH(F131,Bands!$A$3:$A$6,0)),""))</f>
        <v>Golden yellow with light brown at some edges or small spots</v>
      </c>
      <c r="H131" s="12" t="str">
        <f>IF(F131="","",IFERROR(INDEX(Bands!$J$3:$J$6,MATCH(F131,Bands!$A$3:$A$6,0)),""))</f>
        <v>Not pale yellow (matches a low value) and not deep reddish-brown (matches a high value). Avoid black or burnt chips.</v>
      </c>
      <c r="I131" s="12" t="str">
        <f>IF(F131="","","Ch3_"&amp;TEXT(COUNT($E$2:E131),"000")&amp;"_"&amp;SUBSTITUTE(F131," ","-")&amp;"_"&amp;TEXT(E131,"0")&amp;".jpg")</f>
        <v>Ch3_125_Medium_821.jpg</v>
      </c>
    </row>
    <row r="132" spans="1:9" ht="12.75" customHeight="1" x14ac:dyDescent="0.25">
      <c r="A132" s="2"/>
      <c r="B132" s="4" t="s">
        <v>15</v>
      </c>
      <c r="C132" s="9">
        <v>0.9899</v>
      </c>
      <c r="D132" s="9">
        <v>79.8444456429241</v>
      </c>
      <c r="E132" s="11">
        <v>806.59102578971704</v>
      </c>
      <c r="F132" s="12" t="str">
        <f>IF(NOT(ISNUMBER(E132)),"",IF(E132&lt;Bands!$B$4,"Low",IF(E132&lt;Bands!$B$5,"Medium",IF(E132&lt;Bands!$B$6,"High","Very high"))))</f>
        <v>Medium</v>
      </c>
      <c r="G132" s="12" t="str">
        <f>IF(F132="","",IFERROR(INDEX(Bands!$D$3:$D$6,MATCH(F132,Bands!$A$3:$A$6,0)),""))</f>
        <v>Golden yellow with light brown at some edges or small spots</v>
      </c>
      <c r="H132" s="12" t="str">
        <f>IF(F132="","",IFERROR(INDEX(Bands!$J$3:$J$6,MATCH(F132,Bands!$A$3:$A$6,0)),""))</f>
        <v>Not pale yellow (matches a low value) and not deep reddish-brown (matches a high value). Avoid black or burnt chips.</v>
      </c>
      <c r="I132" s="12" t="str">
        <f>IF(F132="","","Ch3_"&amp;TEXT(COUNT($E$2:E132),"000")&amp;"_"&amp;SUBSTITUTE(F132," ","-")&amp;"_"&amp;TEXT(E132,"0")&amp;".jpg")</f>
        <v>Ch3_126_Medium_807.jpg</v>
      </c>
    </row>
    <row r="133" spans="1:9" ht="12.75" customHeight="1" x14ac:dyDescent="0.25">
      <c r="A133" s="2"/>
      <c r="B133" s="4" t="s">
        <v>16</v>
      </c>
      <c r="C133" s="9">
        <v>0.97019999999999995</v>
      </c>
      <c r="D133" s="9">
        <v>95.866437266203107</v>
      </c>
      <c r="E133" s="11">
        <v>988.11005221813105</v>
      </c>
      <c r="F133" s="12" t="str">
        <f>IF(NOT(ISNUMBER(E133)),"",IF(E133&lt;Bands!$B$4,"Low",IF(E133&lt;Bands!$B$5,"Medium",IF(E133&lt;Bands!$B$6,"High","Very high"))))</f>
        <v>Medium</v>
      </c>
      <c r="G133" s="12" t="str">
        <f>IF(F133="","",IFERROR(INDEX(Bands!$D$3:$D$6,MATCH(F133,Bands!$A$3:$A$6,0)),""))</f>
        <v>Golden yellow with light brown at some edges or small spots</v>
      </c>
      <c r="H133" s="12" t="str">
        <f>IF(F133="","",IFERROR(INDEX(Bands!$J$3:$J$6,MATCH(F133,Bands!$A$3:$A$6,0)),""))</f>
        <v>Not pale yellow (matches a low value) and not deep reddish-brown (matches a high value). Avoid black or burnt chips.</v>
      </c>
      <c r="I133" s="12" t="str">
        <f>IF(F133="","","Ch3_"&amp;TEXT(COUNT($E$2:E133),"000")&amp;"_"&amp;SUBSTITUTE(F133," ","-")&amp;"_"&amp;TEXT(E133,"0")&amp;".jpg")</f>
        <v>Ch3_127_Medium_988.jpg</v>
      </c>
    </row>
    <row r="134" spans="1:9" ht="12.75" customHeight="1" x14ac:dyDescent="0.25">
      <c r="A134" s="2"/>
      <c r="B134" s="4" t="s">
        <v>17</v>
      </c>
      <c r="C134" s="9">
        <v>1.026</v>
      </c>
      <c r="D134" s="9">
        <v>185.44482355822001</v>
      </c>
      <c r="E134" s="11">
        <v>1807.45442064542</v>
      </c>
      <c r="F134" s="12" t="str">
        <f>IF(NOT(ISNUMBER(E134)),"",IF(E134&lt;Bands!$B$4,"Low",IF(E134&lt;Bands!$B$5,"Medium",IF(E134&lt;Bands!$B$6,"High","Very high"))))</f>
        <v>High</v>
      </c>
      <c r="G134" s="12" t="str">
        <f>IF(F134="","",IFERROR(INDEX(Bands!$D$3:$D$6,MATCH(F134,Bands!$A$3:$A$6,0)),""))</f>
        <v>Golden-brown with a reddish tint, brown edges, somewhat uneven</v>
      </c>
      <c r="H134" s="12" t="str">
        <f>IF(F134="","",IFERROR(INDEX(Bands!$J$3:$J$6,MATCH(F134,Bands!$A$3:$A$6,0)),""))</f>
        <v>Not pale yellow, which would match a low value. Not black or burnt, since very dark chips can have lower acrylamide.</v>
      </c>
      <c r="I134" s="12" t="str">
        <f>IF(F134="","","Ch3_"&amp;TEXT(COUNT($E$2:E134),"000")&amp;"_"&amp;SUBSTITUTE(F134," ","-")&amp;"_"&amp;TEXT(E134,"0")&amp;".jpg")</f>
        <v>Ch3_128_High_1807.jpg</v>
      </c>
    </row>
    <row r="135" spans="1:9" ht="12.75" customHeight="1" x14ac:dyDescent="0.25">
      <c r="A135" s="2"/>
      <c r="B135" s="4" t="s">
        <v>18</v>
      </c>
      <c r="C135" s="9">
        <v>1.0115000000000001</v>
      </c>
      <c r="D135" s="9">
        <v>120.731093742799</v>
      </c>
      <c r="E135" s="11">
        <v>1193.58471322589</v>
      </c>
      <c r="F135" s="12" t="str">
        <f>IF(NOT(ISNUMBER(E135)),"",IF(E135&lt;Bands!$B$4,"Low",IF(E135&lt;Bands!$B$5,"Medium",IF(E135&lt;Bands!$B$6,"High","Very high"))))</f>
        <v>High</v>
      </c>
      <c r="G135" s="12" t="str">
        <f>IF(F135="","",IFERROR(INDEX(Bands!$D$3:$D$6,MATCH(F135,Bands!$A$3:$A$6,0)),""))</f>
        <v>Golden-brown with a reddish tint, brown edges, somewhat uneven</v>
      </c>
      <c r="H135" s="12" t="str">
        <f>IF(F135="","",IFERROR(INDEX(Bands!$J$3:$J$6,MATCH(F135,Bands!$A$3:$A$6,0)),""))</f>
        <v>Not pale yellow, which would match a low value. Not black or burnt, since very dark chips can have lower acrylamide.</v>
      </c>
      <c r="I135" s="12" t="str">
        <f>IF(F135="","","Ch3_"&amp;TEXT(COUNT($E$2:E135),"000")&amp;"_"&amp;SUBSTITUTE(F135," ","-")&amp;"_"&amp;TEXT(E135,"0")&amp;".jpg")</f>
        <v>Ch3_129_High_1194.jpg</v>
      </c>
    </row>
    <row r="136" spans="1:9" ht="12.75" customHeight="1" x14ac:dyDescent="0.25">
      <c r="A136" s="2"/>
      <c r="B136" s="4" t="s">
        <v>19</v>
      </c>
      <c r="C136" s="9">
        <v>1.0358000000000001</v>
      </c>
      <c r="D136" s="9">
        <v>103.53743939528</v>
      </c>
      <c r="E136" s="11">
        <v>999.58910402857703</v>
      </c>
      <c r="F136" s="12" t="str">
        <f>IF(NOT(ISNUMBER(E136)),"",IF(E136&lt;Bands!$B$4,"Low",IF(E136&lt;Bands!$B$5,"Medium",IF(E136&lt;Bands!$B$6,"High","Very high"))))</f>
        <v>Medium</v>
      </c>
      <c r="G136" s="12" t="str">
        <f>IF(F136="","",IFERROR(INDEX(Bands!$D$3:$D$6,MATCH(F136,Bands!$A$3:$A$6,0)),""))</f>
        <v>Golden yellow with light brown at some edges or small spots</v>
      </c>
      <c r="H136" s="12" t="str">
        <f>IF(F136="","",IFERROR(INDEX(Bands!$J$3:$J$6,MATCH(F136,Bands!$A$3:$A$6,0)),""))</f>
        <v>Not pale yellow (matches a low value) and not deep reddish-brown (matches a high value). Avoid black or burnt chips.</v>
      </c>
      <c r="I136" s="12" t="str">
        <f>IF(F136="","","Ch3_"&amp;TEXT(COUNT($E$2:E136),"000")&amp;"_"&amp;SUBSTITUTE(F136," ","-")&amp;"_"&amp;TEXT(E136,"0")&amp;".jpg")</f>
        <v>Ch3_130_Medium_1000.jpg</v>
      </c>
    </row>
    <row r="137" spans="1:9" ht="12.75" customHeight="1" x14ac:dyDescent="0.25">
      <c r="A137" s="2"/>
      <c r="B137" s="4" t="s">
        <v>20</v>
      </c>
      <c r="C137" s="9">
        <v>1.0221</v>
      </c>
      <c r="D137" s="9">
        <v>87.007776752711095</v>
      </c>
      <c r="E137" s="11">
        <v>851.26481511311101</v>
      </c>
      <c r="F137" s="12" t="str">
        <f>IF(NOT(ISNUMBER(E137)),"",IF(E137&lt;Bands!$B$4,"Low",IF(E137&lt;Bands!$B$5,"Medium",IF(E137&lt;Bands!$B$6,"High","Very high"))))</f>
        <v>Medium</v>
      </c>
      <c r="G137" s="12" t="str">
        <f>IF(F137="","",IFERROR(INDEX(Bands!$D$3:$D$6,MATCH(F137,Bands!$A$3:$A$6,0)),""))</f>
        <v>Golden yellow with light brown at some edges or small spots</v>
      </c>
      <c r="H137" s="12" t="str">
        <f>IF(F137="","",IFERROR(INDEX(Bands!$J$3:$J$6,MATCH(F137,Bands!$A$3:$A$6,0)),""))</f>
        <v>Not pale yellow (matches a low value) and not deep reddish-brown (matches a high value). Avoid black or burnt chips.</v>
      </c>
      <c r="I137" s="12" t="str">
        <f>IF(F137="","","Ch3_"&amp;TEXT(COUNT($E$2:E137),"000")&amp;"_"&amp;SUBSTITUTE(F137," ","-")&amp;"_"&amp;TEXT(E137,"0")&amp;".jpg")</f>
        <v>Ch3_131_Medium_851.jpg</v>
      </c>
    </row>
    <row r="138" spans="1:9" ht="12.75" customHeight="1" x14ac:dyDescent="0.25">
      <c r="A138" s="2"/>
      <c r="B138" s="4" t="s">
        <v>21</v>
      </c>
      <c r="C138" s="9">
        <v>1.0145999999999999</v>
      </c>
      <c r="D138" s="9">
        <v>94.039626371403301</v>
      </c>
      <c r="E138" s="11">
        <v>926.86404860440905</v>
      </c>
      <c r="F138" s="12" t="str">
        <f>IF(NOT(ISNUMBER(E138)),"",IF(E138&lt;Bands!$B$4,"Low",IF(E138&lt;Bands!$B$5,"Medium",IF(E138&lt;Bands!$B$6,"High","Very high"))))</f>
        <v>Medium</v>
      </c>
      <c r="G138" s="12" t="str">
        <f>IF(F138="","",IFERROR(INDEX(Bands!$D$3:$D$6,MATCH(F138,Bands!$A$3:$A$6,0)),""))</f>
        <v>Golden yellow with light brown at some edges or small spots</v>
      </c>
      <c r="H138" s="12" t="str">
        <f>IF(F138="","",IFERROR(INDEX(Bands!$J$3:$J$6,MATCH(F138,Bands!$A$3:$A$6,0)),""))</f>
        <v>Not pale yellow (matches a low value) and not deep reddish-brown (matches a high value). Avoid black or burnt chips.</v>
      </c>
      <c r="I138" s="12" t="str">
        <f>IF(F138="","","Ch3_"&amp;TEXT(COUNT($E$2:E138),"000")&amp;"_"&amp;SUBSTITUTE(F138," ","-")&amp;"_"&amp;TEXT(E138,"0")&amp;".jpg")</f>
        <v>Ch3_132_Medium_927.jpg</v>
      </c>
    </row>
    <row r="139" spans="1:9" ht="12.75" customHeight="1" x14ac:dyDescent="0.25">
      <c r="A139" s="2"/>
      <c r="B139" s="4" t="s">
        <v>22</v>
      </c>
      <c r="C139" s="9">
        <v>0.97050000000000003</v>
      </c>
      <c r="D139" s="9">
        <v>43.6646616354993</v>
      </c>
      <c r="E139" s="11">
        <v>449.91923375063698</v>
      </c>
      <c r="F139" s="12" t="str">
        <f>IF(NOT(ISNUMBER(E139)),"",IF(E139&lt;Bands!$B$4,"Low",IF(E139&lt;Bands!$B$5,"Medium",IF(E139&lt;Bands!$B$6,"High","Very high"))))</f>
        <v>Low</v>
      </c>
      <c r="G139" s="12" t="str">
        <f>IF(F139="","",IFERROR(INDEX(Bands!$D$3:$D$6,MATCH(F139,Bands!$A$3:$A$6,0)),""))</f>
        <v>Pale yellow to light golden, even colour, no brown spots</v>
      </c>
      <c r="H139" s="12" t="str">
        <f>IF(F139="","",IFERROR(INDEX(Bands!$J$3:$J$6,MATCH(F139,Bands!$A$3:$A$6,0)),""))</f>
        <v>Not deep golden-brown or reddish-brown (those match higher values). Avoid black or burnt chips.</v>
      </c>
      <c r="I139" s="12" t="str">
        <f>IF(F139="","","Ch3_"&amp;TEXT(COUNT($E$2:E139),"000")&amp;"_"&amp;SUBSTITUTE(F139," ","-")&amp;"_"&amp;TEXT(E139,"0")&amp;".jpg")</f>
        <v>Ch3_133_Low_450.jpg</v>
      </c>
    </row>
    <row r="140" spans="1:9" ht="12.75" customHeight="1" x14ac:dyDescent="0.25">
      <c r="A140" s="2"/>
      <c r="B140" s="4" t="s">
        <v>23</v>
      </c>
      <c r="C140" s="9">
        <v>0.9909</v>
      </c>
      <c r="D140" s="9">
        <v>143.73243721178801</v>
      </c>
      <c r="E140" s="11">
        <v>1450.5241418083399</v>
      </c>
      <c r="F140" s="12" t="str">
        <f>IF(NOT(ISNUMBER(E140)),"",IF(E140&lt;Bands!$B$4,"Low",IF(E140&lt;Bands!$B$5,"Medium",IF(E140&lt;Bands!$B$6,"High","Very high"))))</f>
        <v>High</v>
      </c>
      <c r="G140" s="12" t="str">
        <f>IF(F140="","",IFERROR(INDEX(Bands!$D$3:$D$6,MATCH(F140,Bands!$A$3:$A$6,0)),""))</f>
        <v>Golden-brown with a reddish tint, brown edges, somewhat uneven</v>
      </c>
      <c r="H140" s="12" t="str">
        <f>IF(F140="","",IFERROR(INDEX(Bands!$J$3:$J$6,MATCH(F140,Bands!$A$3:$A$6,0)),""))</f>
        <v>Not pale yellow, which would match a low value. Not black or burnt, since very dark chips can have lower acrylamide.</v>
      </c>
      <c r="I140" s="12" t="str">
        <f>IF(F140="","","Ch3_"&amp;TEXT(COUNT($E$2:E140),"000")&amp;"_"&amp;SUBSTITUTE(F140," ","-")&amp;"_"&amp;TEXT(E140,"0")&amp;".jpg")</f>
        <v>Ch3_134_High_1451.jpg</v>
      </c>
    </row>
    <row r="141" spans="1:9" ht="12.75" customHeight="1" x14ac:dyDescent="0.25">
      <c r="A141" s="2"/>
      <c r="B141" s="4" t="s">
        <v>24</v>
      </c>
      <c r="C141" s="9">
        <v>1.0441</v>
      </c>
      <c r="D141" s="9">
        <v>87.490542081078104</v>
      </c>
      <c r="E141" s="11">
        <v>837.95174869340201</v>
      </c>
      <c r="F141" s="12" t="str">
        <f>IF(NOT(ISNUMBER(E141)),"",IF(E141&lt;Bands!$B$4,"Low",IF(E141&lt;Bands!$B$5,"Medium",IF(E141&lt;Bands!$B$6,"High","Very high"))))</f>
        <v>Medium</v>
      </c>
      <c r="G141" s="12" t="str">
        <f>IF(F141="","",IFERROR(INDEX(Bands!$D$3:$D$6,MATCH(F141,Bands!$A$3:$A$6,0)),""))</f>
        <v>Golden yellow with light brown at some edges or small spots</v>
      </c>
      <c r="H141" s="12" t="str">
        <f>IF(F141="","",IFERROR(INDEX(Bands!$J$3:$J$6,MATCH(F141,Bands!$A$3:$A$6,0)),""))</f>
        <v>Not pale yellow (matches a low value) and not deep reddish-brown (matches a high value). Avoid black or burnt chips.</v>
      </c>
      <c r="I141" s="12" t="str">
        <f>IF(F141="","","Ch3_"&amp;TEXT(COUNT($E$2:E141),"000")&amp;"_"&amp;SUBSTITUTE(F141," ","-")&amp;"_"&amp;TEXT(E141,"0")&amp;".jpg")</f>
        <v>Ch3_135_Medium_838.jpg</v>
      </c>
    </row>
    <row r="142" spans="1:9" ht="12.75" customHeight="1" x14ac:dyDescent="0.25">
      <c r="A142" s="2"/>
      <c r="B142" s="4" t="s">
        <v>25</v>
      </c>
      <c r="C142" s="9">
        <v>1.0097</v>
      </c>
      <c r="D142" s="9">
        <v>62.891023840728003</v>
      </c>
      <c r="E142" s="11">
        <v>622.86841478387703</v>
      </c>
      <c r="F142" s="12" t="str">
        <f>IF(NOT(ISNUMBER(E142)),"",IF(E142&lt;Bands!$B$4,"Low",IF(E142&lt;Bands!$B$5,"Medium",IF(E142&lt;Bands!$B$6,"High","Very high"))))</f>
        <v>Medium</v>
      </c>
      <c r="G142" s="12" t="str">
        <f>IF(F142="","",IFERROR(INDEX(Bands!$D$3:$D$6,MATCH(F142,Bands!$A$3:$A$6,0)),""))</f>
        <v>Golden yellow with light brown at some edges or small spots</v>
      </c>
      <c r="H142" s="12" t="str">
        <f>IF(F142="","",IFERROR(INDEX(Bands!$J$3:$J$6,MATCH(F142,Bands!$A$3:$A$6,0)),""))</f>
        <v>Not pale yellow (matches a low value) and not deep reddish-brown (matches a high value). Avoid black or burnt chips.</v>
      </c>
      <c r="I142" s="12" t="str">
        <f>IF(F142="","","Ch3_"&amp;TEXT(COUNT($E$2:E142),"000")&amp;"_"&amp;SUBSTITUTE(F142," ","-")&amp;"_"&amp;TEXT(E142,"0")&amp;".jpg")</f>
        <v>Ch3_136_Medium_623.jpg</v>
      </c>
    </row>
    <row r="143" spans="1:9" ht="12.75" customHeight="1" x14ac:dyDescent="0.25">
      <c r="A143" s="2"/>
      <c r="B143" s="4" t="s">
        <v>26</v>
      </c>
      <c r="C143" s="9">
        <v>1.0229999999999999</v>
      </c>
      <c r="D143" s="9">
        <v>73.1866876501457</v>
      </c>
      <c r="E143" s="11">
        <v>715.41239149702596</v>
      </c>
      <c r="F143" s="12" t="str">
        <f>IF(NOT(ISNUMBER(E143)),"",IF(E143&lt;Bands!$B$4,"Low",IF(E143&lt;Bands!$B$5,"Medium",IF(E143&lt;Bands!$B$6,"High","Very high"))))</f>
        <v>Medium</v>
      </c>
      <c r="G143" s="12" t="str">
        <f>IF(F143="","",IFERROR(INDEX(Bands!$D$3:$D$6,MATCH(F143,Bands!$A$3:$A$6,0)),""))</f>
        <v>Golden yellow with light brown at some edges or small spots</v>
      </c>
      <c r="H143" s="12" t="str">
        <f>IF(F143="","",IFERROR(INDEX(Bands!$J$3:$J$6,MATCH(F143,Bands!$A$3:$A$6,0)),""))</f>
        <v>Not pale yellow (matches a low value) and not deep reddish-brown (matches a high value). Avoid black or burnt chips.</v>
      </c>
      <c r="I143" s="12" t="str">
        <f>IF(F143="","","Ch3_"&amp;TEXT(COUNT($E$2:E143),"000")&amp;"_"&amp;SUBSTITUTE(F143," ","-")&amp;"_"&amp;TEXT(E143,"0")&amp;".jpg")</f>
        <v>Ch3_137_Medium_715.jpg</v>
      </c>
    </row>
    <row r="144" spans="1:9" ht="12.75" customHeight="1" x14ac:dyDescent="0.25">
      <c r="A144" s="2"/>
      <c r="B144" s="4" t="s">
        <v>27</v>
      </c>
      <c r="C144" s="9">
        <v>0.99439999999999995</v>
      </c>
      <c r="D144" s="9">
        <v>141.70440020496099</v>
      </c>
      <c r="E144" s="11">
        <v>1425.0241372180301</v>
      </c>
      <c r="F144" s="12" t="str">
        <f>IF(NOT(ISNUMBER(E144)),"",IF(E144&lt;Bands!$B$4,"Low",IF(E144&lt;Bands!$B$5,"Medium",IF(E144&lt;Bands!$B$6,"High","Very high"))))</f>
        <v>High</v>
      </c>
      <c r="G144" s="12" t="str">
        <f>IF(F144="","",IFERROR(INDEX(Bands!$D$3:$D$6,MATCH(F144,Bands!$A$3:$A$6,0)),""))</f>
        <v>Golden-brown with a reddish tint, brown edges, somewhat uneven</v>
      </c>
      <c r="H144" s="12" t="str">
        <f>IF(F144="","",IFERROR(INDEX(Bands!$J$3:$J$6,MATCH(F144,Bands!$A$3:$A$6,0)),""))</f>
        <v>Not pale yellow, which would match a low value. Not black or burnt, since very dark chips can have lower acrylamide.</v>
      </c>
      <c r="I144" s="12" t="str">
        <f>IF(F144="","","Ch3_"&amp;TEXT(COUNT($E$2:E144),"000")&amp;"_"&amp;SUBSTITUTE(F144," ","-")&amp;"_"&amp;TEXT(E144,"0")&amp;".jpg")</f>
        <v>Ch3_138_High_1425.jpg</v>
      </c>
    </row>
    <row r="145" spans="1:9" ht="12.75" customHeight="1" x14ac:dyDescent="0.25">
      <c r="A145" s="2"/>
      <c r="B145" s="4" t="s">
        <v>28</v>
      </c>
      <c r="C145" s="9">
        <v>1.0244</v>
      </c>
      <c r="D145" s="9">
        <v>146.86368660884301</v>
      </c>
      <c r="E145" s="11">
        <v>1433.6556677942499</v>
      </c>
      <c r="F145" s="12" t="str">
        <f>IF(NOT(ISNUMBER(E145)),"",IF(E145&lt;Bands!$B$4,"Low",IF(E145&lt;Bands!$B$5,"Medium",IF(E145&lt;Bands!$B$6,"High","Very high"))))</f>
        <v>High</v>
      </c>
      <c r="G145" s="12" t="str">
        <f>IF(F145="","",IFERROR(INDEX(Bands!$D$3:$D$6,MATCH(F145,Bands!$A$3:$A$6,0)),""))</f>
        <v>Golden-brown with a reddish tint, brown edges, somewhat uneven</v>
      </c>
      <c r="H145" s="12" t="str">
        <f>IF(F145="","",IFERROR(INDEX(Bands!$J$3:$J$6,MATCH(F145,Bands!$A$3:$A$6,0)),""))</f>
        <v>Not pale yellow, which would match a low value. Not black or burnt, since very dark chips can have lower acrylamide.</v>
      </c>
      <c r="I145" s="12" t="str">
        <f>IF(F145="","","Ch3_"&amp;TEXT(COUNT($E$2:E145),"000")&amp;"_"&amp;SUBSTITUTE(F145," ","-")&amp;"_"&amp;TEXT(E145,"0")&amp;".jpg")</f>
        <v>Ch3_139_High_1434.jpg</v>
      </c>
    </row>
    <row r="146" spans="1:9" ht="12.75" customHeight="1" x14ac:dyDescent="0.25">
      <c r="A146" s="2"/>
      <c r="B146" s="4" t="s">
        <v>29</v>
      </c>
      <c r="C146" s="9">
        <v>0.99739999999999995</v>
      </c>
      <c r="D146" s="9">
        <v>100.753548787011</v>
      </c>
      <c r="E146" s="11">
        <v>1010.16190883308</v>
      </c>
      <c r="F146" s="12" t="str">
        <f>IF(NOT(ISNUMBER(E146)),"",IF(E146&lt;Bands!$B$4,"Low",IF(E146&lt;Bands!$B$5,"Medium",IF(E146&lt;Bands!$B$6,"High","Very high"))))</f>
        <v>High</v>
      </c>
      <c r="G146" s="12" t="str">
        <f>IF(F146="","",IFERROR(INDEX(Bands!$D$3:$D$6,MATCH(F146,Bands!$A$3:$A$6,0)),""))</f>
        <v>Golden-brown with a reddish tint, brown edges, somewhat uneven</v>
      </c>
      <c r="H146" s="12" t="str">
        <f>IF(F146="","",IFERROR(INDEX(Bands!$J$3:$J$6,MATCH(F146,Bands!$A$3:$A$6,0)),""))</f>
        <v>Not pale yellow, which would match a low value. Not black or burnt, since very dark chips can have lower acrylamide.</v>
      </c>
      <c r="I146" s="12" t="str">
        <f>IF(F146="","","Ch3_"&amp;TEXT(COUNT($E$2:E146),"000")&amp;"_"&amp;SUBSTITUTE(F146," ","-")&amp;"_"&amp;TEXT(E146,"0")&amp;".jpg")</f>
        <v>Ch3_140_High_1010.jpg</v>
      </c>
    </row>
    <row r="147" spans="1:9" ht="12.75" customHeight="1" x14ac:dyDescent="0.25">
      <c r="A147" s="2"/>
      <c r="B147" s="4" t="s">
        <v>30</v>
      </c>
      <c r="C147" s="9">
        <v>0.99209999999999998</v>
      </c>
      <c r="D147" s="9">
        <v>70.597425323740197</v>
      </c>
      <c r="E147" s="11">
        <v>711.59586053563396</v>
      </c>
      <c r="F147" s="12" t="str">
        <f>IF(NOT(ISNUMBER(E147)),"",IF(E147&lt;Bands!$B$4,"Low",IF(E147&lt;Bands!$B$5,"Medium",IF(E147&lt;Bands!$B$6,"High","Very high"))))</f>
        <v>Medium</v>
      </c>
      <c r="G147" s="12" t="str">
        <f>IF(F147="","",IFERROR(INDEX(Bands!$D$3:$D$6,MATCH(F147,Bands!$A$3:$A$6,0)),""))</f>
        <v>Golden yellow with light brown at some edges or small spots</v>
      </c>
      <c r="H147" s="12" t="str">
        <f>IF(F147="","",IFERROR(INDEX(Bands!$J$3:$J$6,MATCH(F147,Bands!$A$3:$A$6,0)),""))</f>
        <v>Not pale yellow (matches a low value) and not deep reddish-brown (matches a high value). Avoid black or burnt chips.</v>
      </c>
      <c r="I147" s="12" t="str">
        <f>IF(F147="","","Ch3_"&amp;TEXT(COUNT($E$2:E147),"000")&amp;"_"&amp;SUBSTITUTE(F147," ","-")&amp;"_"&amp;TEXT(E147,"0")&amp;".jpg")</f>
        <v>Ch3_141_Medium_712.jpg</v>
      </c>
    </row>
    <row r="148" spans="1:9" ht="12.75" customHeight="1" x14ac:dyDescent="0.25">
      <c r="A148" s="2"/>
      <c r="B148" s="4" t="s">
        <v>31</v>
      </c>
      <c r="C148" s="9">
        <v>1.0475000000000001</v>
      </c>
      <c r="D148" s="9">
        <v>196.045529528305</v>
      </c>
      <c r="E148" s="11">
        <v>1871.55636781198</v>
      </c>
      <c r="F148" s="12" t="str">
        <f>IF(NOT(ISNUMBER(E148)),"",IF(E148&lt;Bands!$B$4,"Low",IF(E148&lt;Bands!$B$5,"Medium",IF(E148&lt;Bands!$B$6,"High","Very high"))))</f>
        <v>High</v>
      </c>
      <c r="G148" s="12" t="str">
        <f>IF(F148="","",IFERROR(INDEX(Bands!$D$3:$D$6,MATCH(F148,Bands!$A$3:$A$6,0)),""))</f>
        <v>Golden-brown with a reddish tint, brown edges, somewhat uneven</v>
      </c>
      <c r="H148" s="12" t="str">
        <f>IF(F148="","",IFERROR(INDEX(Bands!$J$3:$J$6,MATCH(F148,Bands!$A$3:$A$6,0)),""))</f>
        <v>Not pale yellow, which would match a low value. Not black or burnt, since very dark chips can have lower acrylamide.</v>
      </c>
      <c r="I148" s="12" t="str">
        <f>IF(F148="","","Ch3_"&amp;TEXT(COUNT($E$2:E148),"000")&amp;"_"&amp;SUBSTITUTE(F148," ","-")&amp;"_"&amp;TEXT(E148,"0")&amp;".jpg")</f>
        <v>Ch3_142_High_1872.jpg</v>
      </c>
    </row>
    <row r="149" spans="1:9" ht="12.75" customHeight="1" x14ac:dyDescent="0.25">
      <c r="A149" s="2"/>
      <c r="B149" s="4" t="s">
        <v>32</v>
      </c>
      <c r="C149" s="9">
        <v>0.99070000000000003</v>
      </c>
      <c r="D149" s="9">
        <v>79.186352082776295</v>
      </c>
      <c r="E149" s="11">
        <v>799.29698276750105</v>
      </c>
      <c r="F149" s="12" t="str">
        <f>IF(NOT(ISNUMBER(E149)),"",IF(E149&lt;Bands!$B$4,"Low",IF(E149&lt;Bands!$B$5,"Medium",IF(E149&lt;Bands!$B$6,"High","Very high"))))</f>
        <v>Medium</v>
      </c>
      <c r="G149" s="12" t="str">
        <f>IF(F149="","",IFERROR(INDEX(Bands!$D$3:$D$6,MATCH(F149,Bands!$A$3:$A$6,0)),""))</f>
        <v>Golden yellow with light brown at some edges or small spots</v>
      </c>
      <c r="H149" s="12" t="str">
        <f>IF(F149="","",IFERROR(INDEX(Bands!$J$3:$J$6,MATCH(F149,Bands!$A$3:$A$6,0)),""))</f>
        <v>Not pale yellow (matches a low value) and not deep reddish-brown (matches a high value). Avoid black or burnt chips.</v>
      </c>
      <c r="I149" s="12" t="str">
        <f>IF(F149="","","Ch3_"&amp;TEXT(COUNT($E$2:E149),"000")&amp;"_"&amp;SUBSTITUTE(F149," ","-")&amp;"_"&amp;TEXT(E149,"0")&amp;".jpg")</f>
        <v>Ch3_143_Medium_799.jpg</v>
      </c>
    </row>
    <row r="150" spans="1:9" ht="12.75" customHeight="1" x14ac:dyDescent="0.25">
      <c r="C150" s="9"/>
      <c r="D150" s="9"/>
      <c r="E150" s="11"/>
    </row>
    <row r="151" spans="1:9" ht="12.75" customHeight="1" x14ac:dyDescent="0.25">
      <c r="A151" s="2" t="s">
        <v>45</v>
      </c>
      <c r="B151" s="4" t="s">
        <v>10</v>
      </c>
      <c r="C151" s="9">
        <v>1.0088999999999999</v>
      </c>
      <c r="D151" s="9">
        <v>368.30015417168403</v>
      </c>
      <c r="E151" s="11">
        <v>3650.5119850499</v>
      </c>
      <c r="F151" s="12" t="str">
        <f>IF(NOT(ISNUMBER(E151)),"",IF(E151&lt;Bands!$B$4,"Low",IF(E151&lt;Bands!$B$5,"Medium",IF(E151&lt;Bands!$B$6,"High","Very high"))))</f>
        <v>Very high</v>
      </c>
      <c r="G151" s="12" t="str">
        <f>IF(F151="","",IFERROR(INDEX(Bands!$D$3:$D$6,MATCH(F151,Bands!$A$3:$A$6,0)),""))</f>
        <v>Deep golden-brown to medium brown with a reddish tone; edges darkest, centre golden or light brown</v>
      </c>
      <c r="H151" s="12" t="str">
        <f>IF(F151="","",IFERROR(INDEX(Bands!$J$3:$J$6,MATCH(F151,Bands!$A$3:$A$6,0)),""))</f>
        <v>Not pale yellow, which would match a low value, or black and burnt, since very dark chips can have lower acrylamide.</v>
      </c>
      <c r="I151" s="12" t="str">
        <f>IF(F151="","","Ch3_"&amp;TEXT(COUNT($E$2:E151),"000")&amp;"_"&amp;SUBSTITUTE(F151," ","-")&amp;"_"&amp;TEXT(E151,"0")&amp;".jpg")</f>
        <v>Ch3_144_Very-high_3651.jpg</v>
      </c>
    </row>
    <row r="152" spans="1:9" ht="12.75" customHeight="1" x14ac:dyDescent="0.25">
      <c r="A152" s="2"/>
      <c r="B152" s="4" t="s">
        <v>11</v>
      </c>
      <c r="C152" s="9">
        <v>1.0451999999999999</v>
      </c>
      <c r="D152" s="9">
        <v>57.4009602951134</v>
      </c>
      <c r="E152" s="11">
        <v>549.18637863675303</v>
      </c>
      <c r="F152" s="12" t="str">
        <f>IF(NOT(ISNUMBER(E152)),"",IF(E152&lt;Bands!$B$4,"Low",IF(E152&lt;Bands!$B$5,"Medium",IF(E152&lt;Bands!$B$6,"High","Very high"))))</f>
        <v>Medium</v>
      </c>
      <c r="G152" s="12" t="str">
        <f>IF(F152="","",IFERROR(INDEX(Bands!$D$3:$D$6,MATCH(F152,Bands!$A$3:$A$6,0)),""))</f>
        <v>Golden yellow with light brown at some edges or small spots</v>
      </c>
      <c r="H152" s="12" t="str">
        <f>IF(F152="","",IFERROR(INDEX(Bands!$J$3:$J$6,MATCH(F152,Bands!$A$3:$A$6,0)),""))</f>
        <v>Not pale yellow (matches a low value) and not deep reddish-brown (matches a high value). Avoid black or burnt chips.</v>
      </c>
      <c r="I152" s="12" t="str">
        <f>IF(F152="","","Ch3_"&amp;TEXT(COUNT($E$2:E152),"000")&amp;"_"&amp;SUBSTITUTE(F152," ","-")&amp;"_"&amp;TEXT(E152,"0")&amp;".jpg")</f>
        <v>Ch3_145_Medium_549.jpg</v>
      </c>
    </row>
    <row r="153" spans="1:9" ht="12.75" customHeight="1" x14ac:dyDescent="0.25">
      <c r="A153" s="2"/>
      <c r="B153" s="4" t="s">
        <v>12</v>
      </c>
      <c r="C153" s="9">
        <v>1.0085999999999999</v>
      </c>
      <c r="D153" s="9">
        <v>174.63635646218799</v>
      </c>
      <c r="E153" s="11">
        <v>1731.47289770165</v>
      </c>
      <c r="F153" s="12" t="str">
        <f>IF(NOT(ISNUMBER(E153)),"",IF(E153&lt;Bands!$B$4,"Low",IF(E153&lt;Bands!$B$5,"Medium",IF(E153&lt;Bands!$B$6,"High","Very high"))))</f>
        <v>High</v>
      </c>
      <c r="G153" s="12" t="str">
        <f>IF(F153="","",IFERROR(INDEX(Bands!$D$3:$D$6,MATCH(F153,Bands!$A$3:$A$6,0)),""))</f>
        <v>Golden-brown with a reddish tint, brown edges, somewhat uneven</v>
      </c>
      <c r="H153" s="12" t="str">
        <f>IF(F153="","",IFERROR(INDEX(Bands!$J$3:$J$6,MATCH(F153,Bands!$A$3:$A$6,0)),""))</f>
        <v>Not pale yellow, which would match a low value. Not black or burnt, since very dark chips can have lower acrylamide.</v>
      </c>
      <c r="I153" s="12" t="str">
        <f>IF(F153="","","Ch3_"&amp;TEXT(COUNT($E$2:E153),"000")&amp;"_"&amp;SUBSTITUTE(F153," ","-")&amp;"_"&amp;TEXT(E153,"0")&amp;".jpg")</f>
        <v>Ch3_146_High_1731.jpg</v>
      </c>
    </row>
    <row r="154" spans="1:9" ht="12.75" customHeight="1" x14ac:dyDescent="0.25">
      <c r="A154" s="2"/>
      <c r="B154" s="4" t="s">
        <v>13</v>
      </c>
      <c r="C154" s="9">
        <v>0.9778</v>
      </c>
      <c r="D154" s="9">
        <v>241.020150592612</v>
      </c>
      <c r="E154" s="11">
        <v>2464.9227919064401</v>
      </c>
      <c r="F154" s="12" t="str">
        <f>IF(NOT(ISNUMBER(E154)),"",IF(E154&lt;Bands!$B$4,"Low",IF(E154&lt;Bands!$B$5,"Medium",IF(E154&lt;Bands!$B$6,"High","Very high"))))</f>
        <v>Very high</v>
      </c>
      <c r="G154" s="12" t="str">
        <f>IF(F154="","",IFERROR(INDEX(Bands!$D$3:$D$6,MATCH(F154,Bands!$A$3:$A$6,0)),""))</f>
        <v>Deep golden-brown to medium brown with a reddish tone; edges darkest, centre golden or light brown</v>
      </c>
      <c r="H154" s="12" t="str">
        <f>IF(F154="","",IFERROR(INDEX(Bands!$J$3:$J$6,MATCH(F154,Bands!$A$3:$A$6,0)),""))</f>
        <v>Not pale yellow, which would match a low value, or black and burnt, since very dark chips can have lower acrylamide.</v>
      </c>
      <c r="I154" s="12" t="str">
        <f>IF(F154="","","Ch3_"&amp;TEXT(COUNT($E$2:E154),"000")&amp;"_"&amp;SUBSTITUTE(F154," ","-")&amp;"_"&amp;TEXT(E154,"0")&amp;".jpg")</f>
        <v>Ch3_147_Very-high_2465.jpg</v>
      </c>
    </row>
    <row r="155" spans="1:9" ht="12.75" customHeight="1" x14ac:dyDescent="0.25">
      <c r="A155" s="2"/>
      <c r="B155" s="4" t="s">
        <v>14</v>
      </c>
      <c r="C155" s="9">
        <v>0.97960000000000003</v>
      </c>
      <c r="D155" s="9">
        <v>103.586521528194</v>
      </c>
      <c r="E155" s="11">
        <v>1057.43692862591</v>
      </c>
      <c r="F155" s="12" t="str">
        <f>IF(NOT(ISNUMBER(E155)),"",IF(E155&lt;Bands!$B$4,"Low",IF(E155&lt;Bands!$B$5,"Medium",IF(E155&lt;Bands!$B$6,"High","Very high"))))</f>
        <v>High</v>
      </c>
      <c r="G155" s="12" t="str">
        <f>IF(F155="","",IFERROR(INDEX(Bands!$D$3:$D$6,MATCH(F155,Bands!$A$3:$A$6,0)),""))</f>
        <v>Golden-brown with a reddish tint, brown edges, somewhat uneven</v>
      </c>
      <c r="H155" s="12" t="str">
        <f>IF(F155="","",IFERROR(INDEX(Bands!$J$3:$J$6,MATCH(F155,Bands!$A$3:$A$6,0)),""))</f>
        <v>Not pale yellow, which would match a low value. Not black or burnt, since very dark chips can have lower acrylamide.</v>
      </c>
      <c r="I155" s="12" t="str">
        <f>IF(F155="","","Ch3_"&amp;TEXT(COUNT($E$2:E155),"000")&amp;"_"&amp;SUBSTITUTE(F155," ","-")&amp;"_"&amp;TEXT(E155,"0")&amp;".jpg")</f>
        <v>Ch3_148_High_1057.jpg</v>
      </c>
    </row>
    <row r="156" spans="1:9" ht="12.75" customHeight="1" x14ac:dyDescent="0.25">
      <c r="A156" s="2"/>
      <c r="B156" s="4" t="s">
        <v>15</v>
      </c>
      <c r="C156" s="9">
        <v>0.99509999999999998</v>
      </c>
      <c r="D156" s="9">
        <v>80.134285730615403</v>
      </c>
      <c r="E156" s="11">
        <v>805.28877229037698</v>
      </c>
      <c r="F156" s="12" t="str">
        <f>IF(NOT(ISNUMBER(E156)),"",IF(E156&lt;Bands!$B$4,"Low",IF(E156&lt;Bands!$B$5,"Medium",IF(E156&lt;Bands!$B$6,"High","Very high"))))</f>
        <v>Medium</v>
      </c>
      <c r="G156" s="12" t="str">
        <f>IF(F156="","",IFERROR(INDEX(Bands!$D$3:$D$6,MATCH(F156,Bands!$A$3:$A$6,0)),""))</f>
        <v>Golden yellow with light brown at some edges or small spots</v>
      </c>
      <c r="H156" s="12" t="str">
        <f>IF(F156="","",IFERROR(INDEX(Bands!$J$3:$J$6,MATCH(F156,Bands!$A$3:$A$6,0)),""))</f>
        <v>Not pale yellow (matches a low value) and not deep reddish-brown (matches a high value). Avoid black or burnt chips.</v>
      </c>
      <c r="I156" s="12" t="str">
        <f>IF(F156="","","Ch3_"&amp;TEXT(COUNT($E$2:E156),"000")&amp;"_"&amp;SUBSTITUTE(F156," ","-")&amp;"_"&amp;TEXT(E156,"0")&amp;".jpg")</f>
        <v>Ch3_149_Medium_805.jpg</v>
      </c>
    </row>
    <row r="157" spans="1:9" ht="12.75" customHeight="1" x14ac:dyDescent="0.25">
      <c r="A157" s="2"/>
      <c r="B157" s="4" t="s">
        <v>16</v>
      </c>
      <c r="C157" s="9">
        <v>0.96120000000000005</v>
      </c>
      <c r="D157" s="9">
        <v>96.481143463662704</v>
      </c>
      <c r="E157" s="11">
        <v>1003.75721456162</v>
      </c>
      <c r="F157" s="12" t="str">
        <f>IF(NOT(ISNUMBER(E157)),"",IF(E157&lt;Bands!$B$4,"Low",IF(E157&lt;Bands!$B$5,"Medium",IF(E157&lt;Bands!$B$6,"High","Very high"))))</f>
        <v>High</v>
      </c>
      <c r="G157" s="12" t="str">
        <f>IF(F157="","",IFERROR(INDEX(Bands!$D$3:$D$6,MATCH(F157,Bands!$A$3:$A$6,0)),""))</f>
        <v>Golden-brown with a reddish tint, brown edges, somewhat uneven</v>
      </c>
      <c r="H157" s="12" t="str">
        <f>IF(F157="","",IFERROR(INDEX(Bands!$J$3:$J$6,MATCH(F157,Bands!$A$3:$A$6,0)),""))</f>
        <v>Not pale yellow, which would match a low value. Not black or burnt, since very dark chips can have lower acrylamide.</v>
      </c>
      <c r="I157" s="12" t="str">
        <f>IF(F157="","","Ch3_"&amp;TEXT(COUNT($E$2:E157),"000")&amp;"_"&amp;SUBSTITUTE(F157," ","-")&amp;"_"&amp;TEXT(E157,"0")&amp;".jpg")</f>
        <v>Ch3_150_High_1004.jpg</v>
      </c>
    </row>
    <row r="158" spans="1:9" ht="12.75" customHeight="1" x14ac:dyDescent="0.25">
      <c r="A158" s="2"/>
      <c r="B158" s="4" t="s">
        <v>17</v>
      </c>
      <c r="C158" s="9">
        <v>1.0233000000000001</v>
      </c>
      <c r="D158" s="9">
        <v>82.010949877056106</v>
      </c>
      <c r="E158" s="11">
        <v>801.436039060452</v>
      </c>
      <c r="F158" s="12" t="str">
        <f>IF(NOT(ISNUMBER(E158)),"",IF(E158&lt;Bands!$B$4,"Low",IF(E158&lt;Bands!$B$5,"Medium",IF(E158&lt;Bands!$B$6,"High","Very high"))))</f>
        <v>Medium</v>
      </c>
      <c r="G158" s="12" t="str">
        <f>IF(F158="","",IFERROR(INDEX(Bands!$D$3:$D$6,MATCH(F158,Bands!$A$3:$A$6,0)),""))</f>
        <v>Golden yellow with light brown at some edges or small spots</v>
      </c>
      <c r="H158" s="12" t="str">
        <f>IF(F158="","",IFERROR(INDEX(Bands!$J$3:$J$6,MATCH(F158,Bands!$A$3:$A$6,0)),""))</f>
        <v>Not pale yellow (matches a low value) and not deep reddish-brown (matches a high value). Avoid black or burnt chips.</v>
      </c>
      <c r="I158" s="12" t="str">
        <f>IF(F158="","","Ch3_"&amp;TEXT(COUNT($E$2:E158),"000")&amp;"_"&amp;SUBSTITUTE(F158," ","-")&amp;"_"&amp;TEXT(E158,"0")&amp;".jpg")</f>
        <v>Ch3_151_Medium_801.jpg</v>
      </c>
    </row>
    <row r="159" spans="1:9" ht="12.75" customHeight="1" x14ac:dyDescent="0.25">
      <c r="A159" s="2"/>
      <c r="B159" s="4" t="s">
        <v>18</v>
      </c>
      <c r="C159" s="9">
        <v>1.0018</v>
      </c>
      <c r="D159" s="9">
        <v>101.17617995000801</v>
      </c>
      <c r="E159" s="11">
        <v>1009.94390047922</v>
      </c>
      <c r="F159" s="12" t="str">
        <f>IF(NOT(ISNUMBER(E159)),"",IF(E159&lt;Bands!$B$4,"Low",IF(E159&lt;Bands!$B$5,"Medium",IF(E159&lt;Bands!$B$6,"High","Very high"))))</f>
        <v>High</v>
      </c>
      <c r="G159" s="12" t="str">
        <f>IF(F159="","",IFERROR(INDEX(Bands!$D$3:$D$6,MATCH(F159,Bands!$A$3:$A$6,0)),""))</f>
        <v>Golden-brown with a reddish tint, brown edges, somewhat uneven</v>
      </c>
      <c r="H159" s="12" t="str">
        <f>IF(F159="","",IFERROR(INDEX(Bands!$J$3:$J$6,MATCH(F159,Bands!$A$3:$A$6,0)),""))</f>
        <v>Not pale yellow, which would match a low value. Not black or burnt, since very dark chips can have lower acrylamide.</v>
      </c>
      <c r="I159" s="12" t="str">
        <f>IF(F159="","","Ch3_"&amp;TEXT(COUNT($E$2:E159),"000")&amp;"_"&amp;SUBSTITUTE(F159," ","-")&amp;"_"&amp;TEXT(E159,"0")&amp;".jpg")</f>
        <v>Ch3_152_High_1010.jpg</v>
      </c>
    </row>
    <row r="160" spans="1:9" ht="12.75" customHeight="1" x14ac:dyDescent="0.25">
      <c r="A160" s="2"/>
      <c r="B160" s="4" t="s">
        <v>19</v>
      </c>
      <c r="C160" s="9">
        <v>0.99460000000000004</v>
      </c>
      <c r="D160" s="9">
        <v>34.703477932275298</v>
      </c>
      <c r="E160" s="11">
        <v>348.918941607433</v>
      </c>
      <c r="F160" s="12" t="str">
        <f>IF(NOT(ISNUMBER(E160)),"",IF(E160&lt;Bands!$B$4,"Low",IF(E160&lt;Bands!$B$5,"Medium",IF(E160&lt;Bands!$B$6,"High","Very high"))))</f>
        <v>Low</v>
      </c>
      <c r="G160" s="12" t="str">
        <f>IF(F160="","",IFERROR(INDEX(Bands!$D$3:$D$6,MATCH(F160,Bands!$A$3:$A$6,0)),""))</f>
        <v>Pale yellow to light golden, even colour, no brown spots</v>
      </c>
      <c r="H160" s="12" t="str">
        <f>IF(F160="","",IFERROR(INDEX(Bands!$J$3:$J$6,MATCH(F160,Bands!$A$3:$A$6,0)),""))</f>
        <v>Not deep golden-brown or reddish-brown (those match higher values). Avoid black or burnt chips.</v>
      </c>
      <c r="I160" s="12" t="str">
        <f>IF(F160="","","Ch3_"&amp;TEXT(COUNT($E$2:E160),"000")&amp;"_"&amp;SUBSTITUTE(F160," ","-")&amp;"_"&amp;TEXT(E160,"0")&amp;".jpg")</f>
        <v>Ch3_153_Low_349.jpg</v>
      </c>
    </row>
    <row r="161" spans="1:9" ht="12.75" customHeight="1" x14ac:dyDescent="0.25">
      <c r="A161" s="2"/>
      <c r="B161" s="4" t="s">
        <v>20</v>
      </c>
      <c r="C161" s="9">
        <v>0.995</v>
      </c>
      <c r="D161" s="9">
        <v>62.082634188308802</v>
      </c>
      <c r="E161" s="11">
        <v>623.94607224431002</v>
      </c>
      <c r="F161" s="12" t="str">
        <f>IF(NOT(ISNUMBER(E161)),"",IF(E161&lt;Bands!$B$4,"Low",IF(E161&lt;Bands!$B$5,"Medium",IF(E161&lt;Bands!$B$6,"High","Very high"))))</f>
        <v>Medium</v>
      </c>
      <c r="G161" s="12" t="str">
        <f>IF(F161="","",IFERROR(INDEX(Bands!$D$3:$D$6,MATCH(F161,Bands!$A$3:$A$6,0)),""))</f>
        <v>Golden yellow with light brown at some edges or small spots</v>
      </c>
      <c r="H161" s="12" t="str">
        <f>IF(F161="","",IFERROR(INDEX(Bands!$J$3:$J$6,MATCH(F161,Bands!$A$3:$A$6,0)),""))</f>
        <v>Not pale yellow (matches a low value) and not deep reddish-brown (matches a high value). Avoid black or burnt chips.</v>
      </c>
      <c r="I161" s="12" t="str">
        <f>IF(F161="","","Ch3_"&amp;TEXT(COUNT($E$2:E161),"000")&amp;"_"&amp;SUBSTITUTE(F161," ","-")&amp;"_"&amp;TEXT(E161,"0")&amp;".jpg")</f>
        <v>Ch3_154_Medium_624.jpg</v>
      </c>
    </row>
    <row r="162" spans="1:9" ht="12.75" customHeight="1" x14ac:dyDescent="0.25">
      <c r="A162" s="2"/>
      <c r="B162" s="4" t="s">
        <v>21</v>
      </c>
      <c r="C162" s="9">
        <v>1.0229999999999999</v>
      </c>
      <c r="D162" s="9">
        <v>50.935987803568999</v>
      </c>
      <c r="E162" s="11">
        <v>497.90799416978501</v>
      </c>
      <c r="F162" s="12" t="str">
        <f>IF(NOT(ISNUMBER(E162)),"",IF(E162&lt;Bands!$B$4,"Low",IF(E162&lt;Bands!$B$5,"Medium",IF(E162&lt;Bands!$B$6,"High","Very high"))))</f>
        <v>Low</v>
      </c>
      <c r="G162" s="12" t="str">
        <f>IF(F162="","",IFERROR(INDEX(Bands!$D$3:$D$6,MATCH(F162,Bands!$A$3:$A$6,0)),""))</f>
        <v>Pale yellow to light golden, even colour, no brown spots</v>
      </c>
      <c r="H162" s="12" t="str">
        <f>IF(F162="","",IFERROR(INDEX(Bands!$J$3:$J$6,MATCH(F162,Bands!$A$3:$A$6,0)),""))</f>
        <v>Not deep golden-brown or reddish-brown (those match higher values). Avoid black or burnt chips.</v>
      </c>
      <c r="I162" s="12" t="str">
        <f>IF(F162="","","Ch3_"&amp;TEXT(COUNT($E$2:E162),"000")&amp;"_"&amp;SUBSTITUTE(F162," ","-")&amp;"_"&amp;TEXT(E162,"0")&amp;".jpg")</f>
        <v>Ch3_155_Low_498.jpg</v>
      </c>
    </row>
    <row r="163" spans="1:9" ht="12.75" customHeight="1" x14ac:dyDescent="0.25">
      <c r="A163" s="2"/>
      <c r="B163" s="4" t="s">
        <v>22</v>
      </c>
      <c r="C163" s="9">
        <v>1.0545</v>
      </c>
      <c r="D163" s="9">
        <v>111.945006854543</v>
      </c>
      <c r="E163" s="11">
        <v>1061.59323712227</v>
      </c>
      <c r="F163" s="12" t="str">
        <f>IF(NOT(ISNUMBER(E163)),"",IF(E163&lt;Bands!$B$4,"Low",IF(E163&lt;Bands!$B$5,"Medium",IF(E163&lt;Bands!$B$6,"High","Very high"))))</f>
        <v>High</v>
      </c>
      <c r="G163" s="12" t="str">
        <f>IF(F163="","",IFERROR(INDEX(Bands!$D$3:$D$6,MATCH(F163,Bands!$A$3:$A$6,0)),""))</f>
        <v>Golden-brown with a reddish tint, brown edges, somewhat uneven</v>
      </c>
      <c r="H163" s="12" t="str">
        <f>IF(F163="","",IFERROR(INDEX(Bands!$J$3:$J$6,MATCH(F163,Bands!$A$3:$A$6,0)),""))</f>
        <v>Not pale yellow, which would match a low value. Not black or burnt, since very dark chips can have lower acrylamide.</v>
      </c>
      <c r="I163" s="12" t="str">
        <f>IF(F163="","","Ch3_"&amp;TEXT(COUNT($E$2:E163),"000")&amp;"_"&amp;SUBSTITUTE(F163," ","-")&amp;"_"&amp;TEXT(E163,"0")&amp;".jpg")</f>
        <v>Ch3_156_High_1062.jpg</v>
      </c>
    </row>
    <row r="164" spans="1:9" ht="12.75" customHeight="1" x14ac:dyDescent="0.25">
      <c r="A164" s="2"/>
      <c r="B164" s="4" t="s">
        <v>23</v>
      </c>
      <c r="C164" s="9">
        <v>1.0387999999999999</v>
      </c>
      <c r="D164" s="9">
        <v>138.04541647880399</v>
      </c>
      <c r="E164" s="11">
        <v>1328.8931120408599</v>
      </c>
      <c r="F164" s="12" t="str">
        <f>IF(NOT(ISNUMBER(E164)),"",IF(E164&lt;Bands!$B$4,"Low",IF(E164&lt;Bands!$B$5,"Medium",IF(E164&lt;Bands!$B$6,"High","Very high"))))</f>
        <v>High</v>
      </c>
      <c r="G164" s="12" t="str">
        <f>IF(F164="","",IFERROR(INDEX(Bands!$D$3:$D$6,MATCH(F164,Bands!$A$3:$A$6,0)),""))</f>
        <v>Golden-brown with a reddish tint, brown edges, somewhat uneven</v>
      </c>
      <c r="H164" s="12" t="str">
        <f>IF(F164="","",IFERROR(INDEX(Bands!$J$3:$J$6,MATCH(F164,Bands!$A$3:$A$6,0)),""))</f>
        <v>Not pale yellow, which would match a low value. Not black or burnt, since very dark chips can have lower acrylamide.</v>
      </c>
      <c r="I164" s="12" t="str">
        <f>IF(F164="","","Ch3_"&amp;TEXT(COUNT($E$2:E164),"000")&amp;"_"&amp;SUBSTITUTE(F164," ","-")&amp;"_"&amp;TEXT(E164,"0")&amp;".jpg")</f>
        <v>Ch3_157_High_1329.jpg</v>
      </c>
    </row>
    <row r="165" spans="1:9" ht="12.75" customHeight="1" x14ac:dyDescent="0.25">
      <c r="A165" s="2"/>
      <c r="B165" s="4" t="s">
        <v>24</v>
      </c>
      <c r="C165" s="9">
        <v>1.0497000000000001</v>
      </c>
      <c r="D165" s="9">
        <v>79.442056608957998</v>
      </c>
      <c r="E165" s="11">
        <v>756.80724596511402</v>
      </c>
      <c r="F165" s="12" t="str">
        <f>IF(NOT(ISNUMBER(E165)),"",IF(E165&lt;Bands!$B$4,"Low",IF(E165&lt;Bands!$B$5,"Medium",IF(E165&lt;Bands!$B$6,"High","Very high"))))</f>
        <v>Medium</v>
      </c>
      <c r="G165" s="12" t="str">
        <f>IF(F165="","",IFERROR(INDEX(Bands!$D$3:$D$6,MATCH(F165,Bands!$A$3:$A$6,0)),""))</f>
        <v>Golden yellow with light brown at some edges or small spots</v>
      </c>
      <c r="H165" s="12" t="str">
        <f>IF(F165="","",IFERROR(INDEX(Bands!$J$3:$J$6,MATCH(F165,Bands!$A$3:$A$6,0)),""))</f>
        <v>Not pale yellow (matches a low value) and not deep reddish-brown (matches a high value). Avoid black or burnt chips.</v>
      </c>
      <c r="I165" s="12" t="str">
        <f>IF(F165="","","Ch3_"&amp;TEXT(COUNT($E$2:E165),"000")&amp;"_"&amp;SUBSTITUTE(F165," ","-")&amp;"_"&amp;TEXT(E165,"0")&amp;".jpg")</f>
        <v>Ch3_158_Medium_757.jpg</v>
      </c>
    </row>
    <row r="166" spans="1:9" ht="12.75" customHeight="1" x14ac:dyDescent="0.25">
      <c r="A166" s="2"/>
      <c r="B166" s="4" t="s">
        <v>25</v>
      </c>
      <c r="C166" s="9">
        <v>1.0014000000000001</v>
      </c>
      <c r="D166" s="9">
        <v>247.72460034641301</v>
      </c>
      <c r="E166" s="11">
        <v>2473.7827076733902</v>
      </c>
      <c r="F166" s="12" t="str">
        <f>IF(NOT(ISNUMBER(E166)),"",IF(E166&lt;Bands!$B$4,"Low",IF(E166&lt;Bands!$B$5,"Medium",IF(E166&lt;Bands!$B$6,"High","Very high"))))</f>
        <v>Very high</v>
      </c>
      <c r="G166" s="12" t="str">
        <f>IF(F166="","",IFERROR(INDEX(Bands!$D$3:$D$6,MATCH(F166,Bands!$A$3:$A$6,0)),""))</f>
        <v>Deep golden-brown to medium brown with a reddish tone; edges darkest, centre golden or light brown</v>
      </c>
      <c r="H166" s="12" t="str">
        <f>IF(F166="","",IFERROR(INDEX(Bands!$J$3:$J$6,MATCH(F166,Bands!$A$3:$A$6,0)),""))</f>
        <v>Not pale yellow, which would match a low value, or black and burnt, since very dark chips can have lower acrylamide.</v>
      </c>
      <c r="I166" s="12" t="str">
        <f>IF(F166="","","Ch3_"&amp;TEXT(COUNT($E$2:E166),"000")&amp;"_"&amp;SUBSTITUTE(F166," ","-")&amp;"_"&amp;TEXT(E166,"0")&amp;".jpg")</f>
        <v>Ch3_159_Very-high_2474.jpg</v>
      </c>
    </row>
    <row r="167" spans="1:9" ht="12.75" customHeight="1" x14ac:dyDescent="0.25">
      <c r="A167" s="2"/>
      <c r="B167" s="4" t="s">
        <v>26</v>
      </c>
      <c r="C167" s="9">
        <v>0.99950000000000006</v>
      </c>
      <c r="D167" s="9">
        <v>52.968933989831697</v>
      </c>
      <c r="E167" s="11">
        <v>529.95431705684496</v>
      </c>
      <c r="F167" s="12" t="str">
        <f>IF(NOT(ISNUMBER(E167)),"",IF(E167&lt;Bands!$B$4,"Low",IF(E167&lt;Bands!$B$5,"Medium",IF(E167&lt;Bands!$B$6,"High","Very high"))))</f>
        <v>Medium</v>
      </c>
      <c r="G167" s="12" t="str">
        <f>IF(F167="","",IFERROR(INDEX(Bands!$D$3:$D$6,MATCH(F167,Bands!$A$3:$A$6,0)),""))</f>
        <v>Golden yellow with light brown at some edges or small spots</v>
      </c>
      <c r="H167" s="12" t="str">
        <f>IF(F167="","",IFERROR(INDEX(Bands!$J$3:$J$6,MATCH(F167,Bands!$A$3:$A$6,0)),""))</f>
        <v>Not pale yellow (matches a low value) and not deep reddish-brown (matches a high value). Avoid black or burnt chips.</v>
      </c>
      <c r="I167" s="12" t="str">
        <f>IF(F167="","","Ch3_"&amp;TEXT(COUNT($E$2:E167),"000")&amp;"_"&amp;SUBSTITUTE(F167," ","-")&amp;"_"&amp;TEXT(E167,"0")&amp;".jpg")</f>
        <v>Ch3_160_Medium_530.jpg</v>
      </c>
    </row>
    <row r="168" spans="1:9" ht="12.75" customHeight="1" x14ac:dyDescent="0.25">
      <c r="A168" s="2"/>
      <c r="B168" s="4" t="s">
        <v>27</v>
      </c>
      <c r="C168" s="9">
        <v>1.0511999999999999</v>
      </c>
      <c r="D168" s="9">
        <v>56.943340742323997</v>
      </c>
      <c r="E168" s="11">
        <v>541.69844693991604</v>
      </c>
      <c r="F168" s="12" t="str">
        <f>IF(NOT(ISNUMBER(E168)),"",IF(E168&lt;Bands!$B$4,"Low",IF(E168&lt;Bands!$B$5,"Medium",IF(E168&lt;Bands!$B$6,"High","Very high"))))</f>
        <v>Medium</v>
      </c>
      <c r="G168" s="12" t="str">
        <f>IF(F168="","",IFERROR(INDEX(Bands!$D$3:$D$6,MATCH(F168,Bands!$A$3:$A$6,0)),""))</f>
        <v>Golden yellow with light brown at some edges or small spots</v>
      </c>
      <c r="H168" s="12" t="str">
        <f>IF(F168="","",IFERROR(INDEX(Bands!$J$3:$J$6,MATCH(F168,Bands!$A$3:$A$6,0)),""))</f>
        <v>Not pale yellow (matches a low value) and not deep reddish-brown (matches a high value). Avoid black or burnt chips.</v>
      </c>
      <c r="I168" s="12" t="str">
        <f>IF(F168="","","Ch3_"&amp;TEXT(COUNT($E$2:E168),"000")&amp;"_"&amp;SUBSTITUTE(F168," ","-")&amp;"_"&amp;TEXT(E168,"0")&amp;".jpg")</f>
        <v>Ch3_161_Medium_542.jpg</v>
      </c>
    </row>
    <row r="169" spans="1:9" ht="12.75" customHeight="1" x14ac:dyDescent="0.25">
      <c r="A169" s="2"/>
      <c r="B169" s="4" t="s">
        <v>28</v>
      </c>
      <c r="C169" s="9">
        <v>1.0225</v>
      </c>
      <c r="D169" s="9">
        <v>86.529247548171696</v>
      </c>
      <c r="E169" s="11">
        <v>846.25180976207105</v>
      </c>
      <c r="F169" s="12" t="str">
        <f>IF(NOT(ISNUMBER(E169)),"",IF(E169&lt;Bands!$B$4,"Low",IF(E169&lt;Bands!$B$5,"Medium",IF(E169&lt;Bands!$B$6,"High","Very high"))))</f>
        <v>Medium</v>
      </c>
      <c r="G169" s="12" t="str">
        <f>IF(F169="","",IFERROR(INDEX(Bands!$D$3:$D$6,MATCH(F169,Bands!$A$3:$A$6,0)),""))</f>
        <v>Golden yellow with light brown at some edges or small spots</v>
      </c>
      <c r="H169" s="12" t="str">
        <f>IF(F169="","",IFERROR(INDEX(Bands!$J$3:$J$6,MATCH(F169,Bands!$A$3:$A$6,0)),""))</f>
        <v>Not pale yellow (matches a low value) and not deep reddish-brown (matches a high value). Avoid black or burnt chips.</v>
      </c>
      <c r="I169" s="12" t="str">
        <f>IF(F169="","","Ch3_"&amp;TEXT(COUNT($E$2:E169),"000")&amp;"_"&amp;SUBSTITUTE(F169," ","-")&amp;"_"&amp;TEXT(E169,"0")&amp;".jpg")</f>
        <v>Ch3_162_Medium_846.jpg</v>
      </c>
    </row>
    <row r="170" spans="1:9" ht="12.75" customHeight="1" x14ac:dyDescent="0.25">
      <c r="A170" s="2"/>
      <c r="B170" s="4" t="s">
        <v>29</v>
      </c>
      <c r="C170" s="9">
        <v>1.0082</v>
      </c>
      <c r="D170" s="9">
        <v>160.74043241361599</v>
      </c>
      <c r="E170" s="11">
        <v>1594.3308114820099</v>
      </c>
      <c r="F170" s="12" t="str">
        <f>IF(NOT(ISNUMBER(E170)),"",IF(E170&lt;Bands!$B$4,"Low",IF(E170&lt;Bands!$B$5,"Medium",IF(E170&lt;Bands!$B$6,"High","Very high"))))</f>
        <v>High</v>
      </c>
      <c r="G170" s="12" t="str">
        <f>IF(F170="","",IFERROR(INDEX(Bands!$D$3:$D$6,MATCH(F170,Bands!$A$3:$A$6,0)),""))</f>
        <v>Golden-brown with a reddish tint, brown edges, somewhat uneven</v>
      </c>
      <c r="H170" s="12" t="str">
        <f>IF(F170="","",IFERROR(INDEX(Bands!$J$3:$J$6,MATCH(F170,Bands!$A$3:$A$6,0)),""))</f>
        <v>Not pale yellow, which would match a low value. Not black or burnt, since very dark chips can have lower acrylamide.</v>
      </c>
      <c r="I170" s="12" t="str">
        <f>IF(F170="","","Ch3_"&amp;TEXT(COUNT($E$2:E170),"000")&amp;"_"&amp;SUBSTITUTE(F170," ","-")&amp;"_"&amp;TEXT(E170,"0")&amp;".jpg")</f>
        <v>Ch3_163_High_1594.jpg</v>
      </c>
    </row>
    <row r="171" spans="1:9" ht="12.75" customHeight="1" x14ac:dyDescent="0.25">
      <c r="A171" s="2"/>
      <c r="B171" s="4" t="s">
        <v>30</v>
      </c>
      <c r="C171" s="9">
        <v>1.0472999999999999</v>
      </c>
      <c r="D171" s="9">
        <v>74.096474118811301</v>
      </c>
      <c r="E171" s="11">
        <v>707.49999158609103</v>
      </c>
      <c r="F171" s="12" t="str">
        <f>IF(NOT(ISNUMBER(E171)),"",IF(E171&lt;Bands!$B$4,"Low",IF(E171&lt;Bands!$B$5,"Medium",IF(E171&lt;Bands!$B$6,"High","Very high"))))</f>
        <v>Medium</v>
      </c>
      <c r="G171" s="12" t="str">
        <f>IF(F171="","",IFERROR(INDEX(Bands!$D$3:$D$6,MATCH(F171,Bands!$A$3:$A$6,0)),""))</f>
        <v>Golden yellow with light brown at some edges or small spots</v>
      </c>
      <c r="H171" s="12" t="str">
        <f>IF(F171="","",IFERROR(INDEX(Bands!$J$3:$J$6,MATCH(F171,Bands!$A$3:$A$6,0)),""))</f>
        <v>Not pale yellow (matches a low value) and not deep reddish-brown (matches a high value). Avoid black or burnt chips.</v>
      </c>
      <c r="I171" s="12" t="str">
        <f>IF(F171="","","Ch3_"&amp;TEXT(COUNT($E$2:E171),"000")&amp;"_"&amp;SUBSTITUTE(F171," ","-")&amp;"_"&amp;TEXT(E171,"0")&amp;".jpg")</f>
        <v>Ch3_164_Medium_707.jpg</v>
      </c>
    </row>
    <row r="172" spans="1:9" ht="12.75" customHeight="1" x14ac:dyDescent="0.25">
      <c r="A172" s="2"/>
      <c r="B172" s="4" t="s">
        <v>31</v>
      </c>
      <c r="C172" s="9">
        <v>0.98209999999999997</v>
      </c>
      <c r="D172" s="9">
        <v>145.08252948577999</v>
      </c>
      <c r="E172" s="11">
        <v>1477.26839920354</v>
      </c>
      <c r="F172" s="12" t="str">
        <f>IF(NOT(ISNUMBER(E172)),"",IF(E172&lt;Bands!$B$4,"Low",IF(E172&lt;Bands!$B$5,"Medium",IF(E172&lt;Bands!$B$6,"High","Very high"))))</f>
        <v>High</v>
      </c>
      <c r="G172" s="12" t="str">
        <f>IF(F172="","",IFERROR(INDEX(Bands!$D$3:$D$6,MATCH(F172,Bands!$A$3:$A$6,0)),""))</f>
        <v>Golden-brown with a reddish tint, brown edges, somewhat uneven</v>
      </c>
      <c r="H172" s="12" t="str">
        <f>IF(F172="","",IFERROR(INDEX(Bands!$J$3:$J$6,MATCH(F172,Bands!$A$3:$A$6,0)),""))</f>
        <v>Not pale yellow, which would match a low value. Not black or burnt, since very dark chips can have lower acrylamide.</v>
      </c>
      <c r="I172" s="12" t="str">
        <f>IF(F172="","","Ch3_"&amp;TEXT(COUNT($E$2:E172),"000")&amp;"_"&amp;SUBSTITUTE(F172," ","-")&amp;"_"&amp;TEXT(E172,"0")&amp;".jpg")</f>
        <v>Ch3_165_High_1477.jpg</v>
      </c>
    </row>
    <row r="173" spans="1:9" ht="12.75" customHeight="1" x14ac:dyDescent="0.25">
      <c r="A173" s="2"/>
      <c r="B173" s="4" t="s">
        <v>32</v>
      </c>
      <c r="C173" s="9">
        <v>1.0014000000000001</v>
      </c>
      <c r="D173" s="9">
        <v>143.69794802222501</v>
      </c>
      <c r="E173" s="11">
        <v>1434.9705214921601</v>
      </c>
      <c r="F173" s="12" t="str">
        <f>IF(NOT(ISNUMBER(E173)),"",IF(E173&lt;Bands!$B$4,"Low",IF(E173&lt;Bands!$B$5,"Medium",IF(E173&lt;Bands!$B$6,"High","Very high"))))</f>
        <v>High</v>
      </c>
      <c r="G173" s="12" t="str">
        <f>IF(F173="","",IFERROR(INDEX(Bands!$D$3:$D$6,MATCH(F173,Bands!$A$3:$A$6,0)),""))</f>
        <v>Golden-brown with a reddish tint, brown edges, somewhat uneven</v>
      </c>
      <c r="H173" s="12" t="str">
        <f>IF(F173="","",IFERROR(INDEX(Bands!$J$3:$J$6,MATCH(F173,Bands!$A$3:$A$6,0)),""))</f>
        <v>Not pale yellow, which would match a low value. Not black or burnt, since very dark chips can have lower acrylamide.</v>
      </c>
      <c r="I173" s="12" t="str">
        <f>IF(F173="","","Ch3_"&amp;TEXT(COUNT($E$2:E173),"000")&amp;"_"&amp;SUBSTITUTE(F173," ","-")&amp;"_"&amp;TEXT(E173,"0")&amp;".jpg")</f>
        <v>Ch3_166_High_1435.jpg</v>
      </c>
    </row>
    <row r="174" spans="1:9" ht="12.75" customHeight="1" x14ac:dyDescent="0.25">
      <c r="A174" s="2"/>
      <c r="B174" s="4" t="s">
        <v>33</v>
      </c>
      <c r="C174" s="9">
        <v>1.0322</v>
      </c>
      <c r="D174" s="9">
        <v>56.119419984919702</v>
      </c>
      <c r="E174" s="11">
        <v>543.68746352373296</v>
      </c>
      <c r="F174" s="12" t="str">
        <f>IF(NOT(ISNUMBER(E174)),"",IF(E174&lt;Bands!$B$4,"Low",IF(E174&lt;Bands!$B$5,"Medium",IF(E174&lt;Bands!$B$6,"High","Very high"))))</f>
        <v>Medium</v>
      </c>
      <c r="G174" s="12" t="str">
        <f>IF(F174="","",IFERROR(INDEX(Bands!$D$3:$D$6,MATCH(F174,Bands!$A$3:$A$6,0)),""))</f>
        <v>Golden yellow with light brown at some edges or small spots</v>
      </c>
      <c r="H174" s="12" t="str">
        <f>IF(F174="","",IFERROR(INDEX(Bands!$J$3:$J$6,MATCH(F174,Bands!$A$3:$A$6,0)),""))</f>
        <v>Not pale yellow (matches a low value) and not deep reddish-brown (matches a high value). Avoid black or burnt chips.</v>
      </c>
      <c r="I174" s="12" t="str">
        <f>IF(F174="","","Ch3_"&amp;TEXT(COUNT($E$2:E174),"000")&amp;"_"&amp;SUBSTITUTE(F174," ","-")&amp;"_"&amp;TEXT(E174,"0")&amp;".jpg")</f>
        <v>Ch3_167_Medium_544.jpg</v>
      </c>
    </row>
    <row r="175" spans="1:9" ht="12.75" customHeight="1" x14ac:dyDescent="0.25">
      <c r="C175" s="9"/>
      <c r="D175" s="9"/>
      <c r="E175" s="11"/>
    </row>
    <row r="176" spans="1:9" ht="12.75" customHeight="1" x14ac:dyDescent="0.25">
      <c r="A176" s="2" t="s">
        <v>46</v>
      </c>
      <c r="B176" s="4" t="s">
        <v>10</v>
      </c>
      <c r="C176" s="9">
        <v>1.0092000000000001</v>
      </c>
      <c r="D176" s="9">
        <v>43.866963631579999</v>
      </c>
      <c r="E176" s="11">
        <v>434.67066618688102</v>
      </c>
      <c r="F176" s="12" t="str">
        <f>IF(NOT(ISNUMBER(E176)),"",IF(E176&lt;Bands!$B$4,"Low",IF(E176&lt;Bands!$B$5,"Medium",IF(E176&lt;Bands!$B$6,"High","Very high"))))</f>
        <v>Low</v>
      </c>
      <c r="G176" s="12" t="str">
        <f>IF(F176="","",IFERROR(INDEX(Bands!$D$3:$D$6,MATCH(F176,Bands!$A$3:$A$6,0)),""))</f>
        <v>Pale yellow to light golden, even colour, no brown spots</v>
      </c>
      <c r="H176" s="12" t="str">
        <f>IF(F176="","",IFERROR(INDEX(Bands!$J$3:$J$6,MATCH(F176,Bands!$A$3:$A$6,0)),""))</f>
        <v>Not deep golden-brown or reddish-brown (those match higher values). Avoid black or burnt chips.</v>
      </c>
      <c r="I176" s="12" t="str">
        <f>IF(F176="","","Ch3_"&amp;TEXT(COUNT($E$2:E176),"000")&amp;"_"&amp;SUBSTITUTE(F176," ","-")&amp;"_"&amp;TEXT(E176,"0")&amp;".jpg")</f>
        <v>Ch3_168_Low_435.jpg</v>
      </c>
    </row>
    <row r="177" spans="1:9" ht="12.75" customHeight="1" x14ac:dyDescent="0.25">
      <c r="A177" s="2"/>
      <c r="B177" s="4" t="s">
        <v>11</v>
      </c>
      <c r="C177" s="9">
        <v>1.0116000000000001</v>
      </c>
      <c r="D177" s="9">
        <v>126.382533563951</v>
      </c>
      <c r="E177" s="11">
        <v>1249.33307200426</v>
      </c>
      <c r="F177" s="12" t="str">
        <f>IF(NOT(ISNUMBER(E177)),"",IF(E177&lt;Bands!$B$4,"Low",IF(E177&lt;Bands!$B$5,"Medium",IF(E177&lt;Bands!$B$6,"High","Very high"))))</f>
        <v>High</v>
      </c>
      <c r="G177" s="12" t="str">
        <f>IF(F177="","",IFERROR(INDEX(Bands!$D$3:$D$6,MATCH(F177,Bands!$A$3:$A$6,0)),""))</f>
        <v>Golden-brown with a reddish tint, brown edges, somewhat uneven</v>
      </c>
      <c r="H177" s="12" t="str">
        <f>IF(F177="","",IFERROR(INDEX(Bands!$J$3:$J$6,MATCH(F177,Bands!$A$3:$A$6,0)),""))</f>
        <v>Not pale yellow, which would match a low value. Not black or burnt, since very dark chips can have lower acrylamide.</v>
      </c>
      <c r="I177" s="12" t="str">
        <f>IF(F177="","","Ch3_"&amp;TEXT(COUNT($E$2:E177),"000")&amp;"_"&amp;SUBSTITUTE(F177," ","-")&amp;"_"&amp;TEXT(E177,"0")&amp;".jpg")</f>
        <v>Ch3_169_High_1249.jpg</v>
      </c>
    </row>
    <row r="178" spans="1:9" ht="12.75" customHeight="1" x14ac:dyDescent="0.25">
      <c r="A178" s="2"/>
      <c r="B178" s="4" t="s">
        <v>12</v>
      </c>
      <c r="C178" s="9">
        <v>1.0042</v>
      </c>
      <c r="D178" s="9">
        <v>46.8253675914222</v>
      </c>
      <c r="E178" s="11">
        <v>466.29523592334402</v>
      </c>
      <c r="F178" s="12" t="str">
        <f>IF(NOT(ISNUMBER(E178)),"",IF(E178&lt;Bands!$B$4,"Low",IF(E178&lt;Bands!$B$5,"Medium",IF(E178&lt;Bands!$B$6,"High","Very high"))))</f>
        <v>Low</v>
      </c>
      <c r="G178" s="12" t="str">
        <f>IF(F178="","",IFERROR(INDEX(Bands!$D$3:$D$6,MATCH(F178,Bands!$A$3:$A$6,0)),""))</f>
        <v>Pale yellow to light golden, even colour, no brown spots</v>
      </c>
      <c r="H178" s="12" t="str">
        <f>IF(F178="","",IFERROR(INDEX(Bands!$J$3:$J$6,MATCH(F178,Bands!$A$3:$A$6,0)),""))</f>
        <v>Not deep golden-brown or reddish-brown (those match higher values). Avoid black or burnt chips.</v>
      </c>
      <c r="I178" s="12" t="str">
        <f>IF(F178="","","Ch3_"&amp;TEXT(COUNT($E$2:E178),"000")&amp;"_"&amp;SUBSTITUTE(F178," ","-")&amp;"_"&amp;TEXT(E178,"0")&amp;".jpg")</f>
        <v>Ch3_170_Low_466.jpg</v>
      </c>
    </row>
    <row r="179" spans="1:9" ht="12.75" customHeight="1" x14ac:dyDescent="0.25">
      <c r="A179" s="2"/>
      <c r="B179" s="4" t="s">
        <v>13</v>
      </c>
      <c r="C179" s="9">
        <v>1.0076000000000001</v>
      </c>
      <c r="D179" s="9">
        <v>42.131494945368601</v>
      </c>
      <c r="E179" s="11">
        <v>418.13710743716399</v>
      </c>
      <c r="F179" s="12" t="str">
        <f>IF(NOT(ISNUMBER(E179)),"",IF(E179&lt;Bands!$B$4,"Low",IF(E179&lt;Bands!$B$5,"Medium",IF(E179&lt;Bands!$B$6,"High","Very high"))))</f>
        <v>Low</v>
      </c>
      <c r="G179" s="12" t="str">
        <f>IF(F179="","",IFERROR(INDEX(Bands!$D$3:$D$6,MATCH(F179,Bands!$A$3:$A$6,0)),""))</f>
        <v>Pale yellow to light golden, even colour, no brown spots</v>
      </c>
      <c r="H179" s="12" t="str">
        <f>IF(F179="","",IFERROR(INDEX(Bands!$J$3:$J$6,MATCH(F179,Bands!$A$3:$A$6,0)),""))</f>
        <v>Not deep golden-brown or reddish-brown (those match higher values). Avoid black or burnt chips.</v>
      </c>
      <c r="I179" s="12" t="str">
        <f>IF(F179="","","Ch3_"&amp;TEXT(COUNT($E$2:E179),"000")&amp;"_"&amp;SUBSTITUTE(F179," ","-")&amp;"_"&amp;TEXT(E179,"0")&amp;".jpg")</f>
        <v>Ch3_171_Low_418.jpg</v>
      </c>
    </row>
    <row r="180" spans="1:9" ht="12.75" customHeight="1" x14ac:dyDescent="0.25">
      <c r="A180" s="2"/>
      <c r="B180" s="4" t="s">
        <v>14</v>
      </c>
      <c r="C180" s="9">
        <v>1.0004999999999999</v>
      </c>
      <c r="D180" s="9">
        <v>55.486675665865498</v>
      </c>
      <c r="E180" s="11">
        <v>554.58946192769099</v>
      </c>
      <c r="F180" s="12" t="str">
        <f>IF(NOT(ISNUMBER(E180)),"",IF(E180&lt;Bands!$B$4,"Low",IF(E180&lt;Bands!$B$5,"Medium",IF(E180&lt;Bands!$B$6,"High","Very high"))))</f>
        <v>Medium</v>
      </c>
      <c r="G180" s="12" t="str">
        <f>IF(F180="","",IFERROR(INDEX(Bands!$D$3:$D$6,MATCH(F180,Bands!$A$3:$A$6,0)),""))</f>
        <v>Golden yellow with light brown at some edges or small spots</v>
      </c>
      <c r="H180" s="12" t="str">
        <f>IF(F180="","",IFERROR(INDEX(Bands!$J$3:$J$6,MATCH(F180,Bands!$A$3:$A$6,0)),""))</f>
        <v>Not pale yellow (matches a low value) and not deep reddish-brown (matches a high value). Avoid black or burnt chips.</v>
      </c>
      <c r="I180" s="12" t="str">
        <f>IF(F180="","","Ch3_"&amp;TEXT(COUNT($E$2:E180),"000")&amp;"_"&amp;SUBSTITUTE(F180," ","-")&amp;"_"&amp;TEXT(E180,"0")&amp;".jpg")</f>
        <v>Ch3_172_Medium_555.jpg</v>
      </c>
    </row>
    <row r="181" spans="1:9" ht="12.75" customHeight="1" x14ac:dyDescent="0.25">
      <c r="A181" s="2"/>
      <c r="B181" s="4" t="s">
        <v>15</v>
      </c>
      <c r="C181" s="9">
        <v>1.0117</v>
      </c>
      <c r="D181" s="9">
        <v>35.710456963058697</v>
      </c>
      <c r="E181" s="11">
        <v>352.97476488147402</v>
      </c>
      <c r="F181" s="12" t="str">
        <f>IF(NOT(ISNUMBER(E181)),"",IF(E181&lt;Bands!$B$4,"Low",IF(E181&lt;Bands!$B$5,"Medium",IF(E181&lt;Bands!$B$6,"High","Very high"))))</f>
        <v>Low</v>
      </c>
      <c r="G181" s="12" t="str">
        <f>IF(F181="","",IFERROR(INDEX(Bands!$D$3:$D$6,MATCH(F181,Bands!$A$3:$A$6,0)),""))</f>
        <v>Pale yellow to light golden, even colour, no brown spots</v>
      </c>
      <c r="H181" s="12" t="str">
        <f>IF(F181="","",IFERROR(INDEX(Bands!$J$3:$J$6,MATCH(F181,Bands!$A$3:$A$6,0)),""))</f>
        <v>Not deep golden-brown or reddish-brown (those match higher values). Avoid black or burnt chips.</v>
      </c>
      <c r="I181" s="12" t="str">
        <f>IF(F181="","","Ch3_"&amp;TEXT(COUNT($E$2:E181),"000")&amp;"_"&amp;SUBSTITUTE(F181," ","-")&amp;"_"&amp;TEXT(E181,"0")&amp;".jpg")</f>
        <v>Ch3_173_Low_353.jpg</v>
      </c>
    </row>
    <row r="182" spans="1:9" ht="12.75" customHeight="1" x14ac:dyDescent="0.25">
      <c r="A182" s="2"/>
      <c r="B182" s="4" t="s">
        <v>16</v>
      </c>
      <c r="C182" s="9">
        <v>1.0172000000000001</v>
      </c>
      <c r="D182" s="9">
        <v>134.69897267048799</v>
      </c>
      <c r="E182" s="11">
        <v>1324.2132586560001</v>
      </c>
      <c r="F182" s="12" t="str">
        <f>IF(NOT(ISNUMBER(E182)),"",IF(E182&lt;Bands!$B$4,"Low",IF(E182&lt;Bands!$B$5,"Medium",IF(E182&lt;Bands!$B$6,"High","Very high"))))</f>
        <v>High</v>
      </c>
      <c r="G182" s="12" t="str">
        <f>IF(F182="","",IFERROR(INDEX(Bands!$D$3:$D$6,MATCH(F182,Bands!$A$3:$A$6,0)),""))</f>
        <v>Golden-brown with a reddish tint, brown edges, somewhat uneven</v>
      </c>
      <c r="H182" s="12" t="str">
        <f>IF(F182="","",IFERROR(INDEX(Bands!$J$3:$J$6,MATCH(F182,Bands!$A$3:$A$6,0)),""))</f>
        <v>Not pale yellow, which would match a low value. Not black or burnt, since very dark chips can have lower acrylamide.</v>
      </c>
      <c r="I182" s="12" t="str">
        <f>IF(F182="","","Ch3_"&amp;TEXT(COUNT($E$2:E182),"000")&amp;"_"&amp;SUBSTITUTE(F182," ","-")&amp;"_"&amp;TEXT(E182,"0")&amp;".jpg")</f>
        <v>Ch3_174_High_1324.jpg</v>
      </c>
    </row>
    <row r="183" spans="1:9" ht="12.75" customHeight="1" x14ac:dyDescent="0.25">
      <c r="A183" s="2"/>
      <c r="B183" s="4" t="s">
        <v>17</v>
      </c>
      <c r="C183" s="9">
        <v>1.0174000000000001</v>
      </c>
      <c r="D183" s="9">
        <v>207.137293207146</v>
      </c>
      <c r="E183" s="11">
        <v>2035.94744650232</v>
      </c>
      <c r="F183" s="12" t="str">
        <f>IF(NOT(ISNUMBER(E183)),"",IF(E183&lt;Bands!$B$4,"Low",IF(E183&lt;Bands!$B$5,"Medium",IF(E183&lt;Bands!$B$6,"High","Very high"))))</f>
        <v>Very high</v>
      </c>
      <c r="G183" s="12" t="str">
        <f>IF(F183="","",IFERROR(INDEX(Bands!$D$3:$D$6,MATCH(F183,Bands!$A$3:$A$6,0)),""))</f>
        <v>Deep golden-brown to medium brown with a reddish tone; edges darkest, centre golden or light brown</v>
      </c>
      <c r="H183" s="12" t="str">
        <f>IF(F183="","",IFERROR(INDEX(Bands!$J$3:$J$6,MATCH(F183,Bands!$A$3:$A$6,0)),""))</f>
        <v>Not pale yellow, which would match a low value, or black and burnt, since very dark chips can have lower acrylamide.</v>
      </c>
      <c r="I183" s="12" t="str">
        <f>IF(F183="","","Ch3_"&amp;TEXT(COUNT($E$2:E183),"000")&amp;"_"&amp;SUBSTITUTE(F183," ","-")&amp;"_"&amp;TEXT(E183,"0")&amp;".jpg")</f>
        <v>Ch3_175_Very-high_2036.jpg</v>
      </c>
    </row>
    <row r="184" spans="1:9" ht="12.75" customHeight="1" x14ac:dyDescent="0.25">
      <c r="A184" s="2"/>
      <c r="B184" s="4" t="s">
        <v>18</v>
      </c>
      <c r="C184" s="9">
        <v>1.0074000000000001</v>
      </c>
      <c r="D184" s="9">
        <v>338.74991778467</v>
      </c>
      <c r="E184" s="11">
        <v>3362.61582077298</v>
      </c>
      <c r="F184" s="12" t="str">
        <f>IF(NOT(ISNUMBER(E184)),"",IF(E184&lt;Bands!$B$4,"Low",IF(E184&lt;Bands!$B$5,"Medium",IF(E184&lt;Bands!$B$6,"High","Very high"))))</f>
        <v>Very high</v>
      </c>
      <c r="G184" s="12" t="str">
        <f>IF(F184="","",IFERROR(INDEX(Bands!$D$3:$D$6,MATCH(F184,Bands!$A$3:$A$6,0)),""))</f>
        <v>Deep golden-brown to medium brown with a reddish tone; edges darkest, centre golden or light brown</v>
      </c>
      <c r="H184" s="12" t="str">
        <f>IF(F184="","",IFERROR(INDEX(Bands!$J$3:$J$6,MATCH(F184,Bands!$A$3:$A$6,0)),""))</f>
        <v>Not pale yellow, which would match a low value, or black and burnt, since very dark chips can have lower acrylamide.</v>
      </c>
      <c r="I184" s="12" t="str">
        <f>IF(F184="","","Ch3_"&amp;TEXT(COUNT($E$2:E184),"000")&amp;"_"&amp;SUBSTITUTE(F184," ","-")&amp;"_"&amp;TEXT(E184,"0")&amp;".jpg")</f>
        <v>Ch3_176_Very-high_3363.jpg</v>
      </c>
    </row>
    <row r="185" spans="1:9" ht="12.75" customHeight="1" x14ac:dyDescent="0.25">
      <c r="A185" s="2"/>
      <c r="B185" s="4" t="s">
        <v>19</v>
      </c>
      <c r="C185" s="9">
        <v>1.0199</v>
      </c>
      <c r="D185" s="9">
        <v>250.26948052142501</v>
      </c>
      <c r="E185" s="11">
        <v>2453.8629328505299</v>
      </c>
      <c r="F185" s="12" t="str">
        <f>IF(NOT(ISNUMBER(E185)),"",IF(E185&lt;Bands!$B$4,"Low",IF(E185&lt;Bands!$B$5,"Medium",IF(E185&lt;Bands!$B$6,"High","Very high"))))</f>
        <v>Very high</v>
      </c>
      <c r="G185" s="12" t="str">
        <f>IF(F185="","",IFERROR(INDEX(Bands!$D$3:$D$6,MATCH(F185,Bands!$A$3:$A$6,0)),""))</f>
        <v>Deep golden-brown to medium brown with a reddish tone; edges darkest, centre golden or light brown</v>
      </c>
      <c r="H185" s="12" t="str">
        <f>IF(F185="","",IFERROR(INDEX(Bands!$J$3:$J$6,MATCH(F185,Bands!$A$3:$A$6,0)),""))</f>
        <v>Not pale yellow, which would match a low value, or black and burnt, since very dark chips can have lower acrylamide.</v>
      </c>
      <c r="I185" s="12" t="str">
        <f>IF(F185="","","Ch3_"&amp;TEXT(COUNT($E$2:E185),"000")&amp;"_"&amp;SUBSTITUTE(F185," ","-")&amp;"_"&amp;TEXT(E185,"0")&amp;".jpg")</f>
        <v>Ch3_177_Very-high_2454.jpg</v>
      </c>
    </row>
    <row r="186" spans="1:9" ht="12.75" customHeight="1" x14ac:dyDescent="0.25">
      <c r="A186" s="2"/>
      <c r="B186" s="4" t="s">
        <v>20</v>
      </c>
      <c r="C186" s="9">
        <v>1.0150999999999999</v>
      </c>
      <c r="D186" s="9">
        <v>80.197556375827006</v>
      </c>
      <c r="E186" s="11">
        <v>790.04587110459101</v>
      </c>
      <c r="F186" s="12" t="str">
        <f>IF(NOT(ISNUMBER(E186)),"",IF(E186&lt;Bands!$B$4,"Low",IF(E186&lt;Bands!$B$5,"Medium",IF(E186&lt;Bands!$B$6,"High","Very high"))))</f>
        <v>Medium</v>
      </c>
      <c r="G186" s="12" t="str">
        <f>IF(F186="","",IFERROR(INDEX(Bands!$D$3:$D$6,MATCH(F186,Bands!$A$3:$A$6,0)),""))</f>
        <v>Golden yellow with light brown at some edges or small spots</v>
      </c>
      <c r="H186" s="12" t="str">
        <f>IF(F186="","",IFERROR(INDEX(Bands!$J$3:$J$6,MATCH(F186,Bands!$A$3:$A$6,0)),""))</f>
        <v>Not pale yellow (matches a low value) and not deep reddish-brown (matches a high value). Avoid black or burnt chips.</v>
      </c>
      <c r="I186" s="12" t="str">
        <f>IF(F186="","","Ch3_"&amp;TEXT(COUNT($E$2:E186),"000")&amp;"_"&amp;SUBSTITUTE(F186," ","-")&amp;"_"&amp;TEXT(E186,"0")&amp;".jpg")</f>
        <v>Ch3_178_Medium_790.jpg</v>
      </c>
    </row>
    <row r="187" spans="1:9" ht="12.75" customHeight="1" x14ac:dyDescent="0.25">
      <c r="A187" s="2"/>
      <c r="B187" s="4" t="s">
        <v>21</v>
      </c>
      <c r="C187" s="9">
        <v>1.0089999999999999</v>
      </c>
      <c r="D187" s="9">
        <v>102.26025181442</v>
      </c>
      <c r="E187" s="11">
        <v>1013.48118745709</v>
      </c>
      <c r="F187" s="12" t="str">
        <f>IF(NOT(ISNUMBER(E187)),"",IF(E187&lt;Bands!$B$4,"Low",IF(E187&lt;Bands!$B$5,"Medium",IF(E187&lt;Bands!$B$6,"High","Very high"))))</f>
        <v>High</v>
      </c>
      <c r="G187" s="12" t="str">
        <f>IF(F187="","",IFERROR(INDEX(Bands!$D$3:$D$6,MATCH(F187,Bands!$A$3:$A$6,0)),""))</f>
        <v>Golden-brown with a reddish tint, brown edges, somewhat uneven</v>
      </c>
      <c r="H187" s="12" t="str">
        <f>IF(F187="","",IFERROR(INDEX(Bands!$J$3:$J$6,MATCH(F187,Bands!$A$3:$A$6,0)),""))</f>
        <v>Not pale yellow, which would match a low value. Not black or burnt, since very dark chips can have lower acrylamide.</v>
      </c>
      <c r="I187" s="12" t="str">
        <f>IF(F187="","","Ch3_"&amp;TEXT(COUNT($E$2:E187),"000")&amp;"_"&amp;SUBSTITUTE(F187," ","-")&amp;"_"&amp;TEXT(E187,"0")&amp;".jpg")</f>
        <v>Ch3_179_High_1013.jpg</v>
      </c>
    </row>
    <row r="188" spans="1:9" ht="12.75" customHeight="1" x14ac:dyDescent="0.25">
      <c r="A188" s="2"/>
      <c r="B188" s="4" t="s">
        <v>22</v>
      </c>
      <c r="C188" s="9">
        <v>1.0152000000000001</v>
      </c>
      <c r="D188" s="9">
        <v>60.282142723250303</v>
      </c>
      <c r="E188" s="11">
        <v>593.79573210451395</v>
      </c>
      <c r="F188" s="12" t="str">
        <f>IF(NOT(ISNUMBER(E188)),"",IF(E188&lt;Bands!$B$4,"Low",IF(E188&lt;Bands!$B$5,"Medium",IF(E188&lt;Bands!$B$6,"High","Very high"))))</f>
        <v>Medium</v>
      </c>
      <c r="G188" s="12" t="str">
        <f>IF(F188="","",IFERROR(INDEX(Bands!$D$3:$D$6,MATCH(F188,Bands!$A$3:$A$6,0)),""))</f>
        <v>Golden yellow with light brown at some edges or small spots</v>
      </c>
      <c r="H188" s="12" t="str">
        <f>IF(F188="","",IFERROR(INDEX(Bands!$J$3:$J$6,MATCH(F188,Bands!$A$3:$A$6,0)),""))</f>
        <v>Not pale yellow (matches a low value) and not deep reddish-brown (matches a high value). Avoid black or burnt chips.</v>
      </c>
      <c r="I188" s="12" t="str">
        <f>IF(F188="","","Ch3_"&amp;TEXT(COUNT($E$2:E188),"000")&amp;"_"&amp;SUBSTITUTE(F188," ","-")&amp;"_"&amp;TEXT(E188,"0")&amp;".jpg")</f>
        <v>Ch3_180_Medium_594.jpg</v>
      </c>
    </row>
    <row r="189" spans="1:9" ht="12.75" customHeight="1" x14ac:dyDescent="0.25">
      <c r="A189" s="2"/>
      <c r="B189" s="4" t="s">
        <v>23</v>
      </c>
      <c r="C189" s="9">
        <v>1.0075000000000001</v>
      </c>
      <c r="D189" s="9">
        <v>23.4583270184038</v>
      </c>
      <c r="E189" s="11">
        <v>232.83699273849899</v>
      </c>
      <c r="F189" s="12" t="str">
        <f>IF(NOT(ISNUMBER(E189)),"",IF(E189&lt;Bands!$B$4,"Low",IF(E189&lt;Bands!$B$5,"Medium",IF(E189&lt;Bands!$B$6,"High","Very high"))))</f>
        <v>Low</v>
      </c>
      <c r="G189" s="12" t="str">
        <f>IF(F189="","",IFERROR(INDEX(Bands!$D$3:$D$6,MATCH(F189,Bands!$A$3:$A$6,0)),""))</f>
        <v>Pale yellow to light golden, even colour, no brown spots</v>
      </c>
      <c r="H189" s="12" t="str">
        <f>IF(F189="","",IFERROR(INDEX(Bands!$J$3:$J$6,MATCH(F189,Bands!$A$3:$A$6,0)),""))</f>
        <v>Not deep golden-brown or reddish-brown (those match higher values). Avoid black or burnt chips.</v>
      </c>
      <c r="I189" s="12" t="str">
        <f>IF(F189="","","Ch3_"&amp;TEXT(COUNT($E$2:E189),"000")&amp;"_"&amp;SUBSTITUTE(F189," ","-")&amp;"_"&amp;TEXT(E189,"0")&amp;".jpg")</f>
        <v>Ch3_181_Low_233.jpg</v>
      </c>
    </row>
    <row r="190" spans="1:9" ht="12.75" customHeight="1" x14ac:dyDescent="0.25">
      <c r="A190" s="2"/>
      <c r="B190" s="4" t="s">
        <v>24</v>
      </c>
      <c r="C190" s="9">
        <v>1.0169999999999999</v>
      </c>
      <c r="D190" s="9">
        <v>38.894906533654499</v>
      </c>
      <c r="E190" s="11">
        <v>382.44745854134197</v>
      </c>
      <c r="F190" s="12" t="str">
        <f>IF(NOT(ISNUMBER(E190)),"",IF(E190&lt;Bands!$B$4,"Low",IF(E190&lt;Bands!$B$5,"Medium",IF(E190&lt;Bands!$B$6,"High","Very high"))))</f>
        <v>Low</v>
      </c>
      <c r="G190" s="12" t="str">
        <f>IF(F190="","",IFERROR(INDEX(Bands!$D$3:$D$6,MATCH(F190,Bands!$A$3:$A$6,0)),""))</f>
        <v>Pale yellow to light golden, even colour, no brown spots</v>
      </c>
      <c r="H190" s="12" t="str">
        <f>IF(F190="","",IFERROR(INDEX(Bands!$J$3:$J$6,MATCH(F190,Bands!$A$3:$A$6,0)),""))</f>
        <v>Not deep golden-brown or reddish-brown (those match higher values). Avoid black or burnt chips.</v>
      </c>
      <c r="I190" s="12" t="str">
        <f>IF(F190="","","Ch3_"&amp;TEXT(COUNT($E$2:E190),"000")&amp;"_"&amp;SUBSTITUTE(F190," ","-")&amp;"_"&amp;TEXT(E190,"0")&amp;".jpg")</f>
        <v>Ch3_182_Low_382.jpg</v>
      </c>
    </row>
    <row r="191" spans="1:9" ht="12.75" customHeight="1" x14ac:dyDescent="0.25">
      <c r="A191" s="2"/>
      <c r="B191" s="4" t="s">
        <v>25</v>
      </c>
      <c r="C191" s="9">
        <v>0.99990000000000001</v>
      </c>
      <c r="D191" s="9">
        <v>55.101801060563403</v>
      </c>
      <c r="E191" s="11">
        <v>551.07311791742598</v>
      </c>
      <c r="F191" s="12" t="str">
        <f>IF(NOT(ISNUMBER(E191)),"",IF(E191&lt;Bands!$B$4,"Low",IF(E191&lt;Bands!$B$5,"Medium",IF(E191&lt;Bands!$B$6,"High","Very high"))))</f>
        <v>Medium</v>
      </c>
      <c r="G191" s="12" t="str">
        <f>IF(F191="","",IFERROR(INDEX(Bands!$D$3:$D$6,MATCH(F191,Bands!$A$3:$A$6,0)),""))</f>
        <v>Golden yellow with light brown at some edges or small spots</v>
      </c>
      <c r="H191" s="12" t="str">
        <f>IF(F191="","",IFERROR(INDEX(Bands!$J$3:$J$6,MATCH(F191,Bands!$A$3:$A$6,0)),""))</f>
        <v>Not pale yellow (matches a low value) and not deep reddish-brown (matches a high value). Avoid black or burnt chips.</v>
      </c>
      <c r="I191" s="12" t="str">
        <f>IF(F191="","","Ch3_"&amp;TEXT(COUNT($E$2:E191),"000")&amp;"_"&amp;SUBSTITUTE(F191," ","-")&amp;"_"&amp;TEXT(E191,"0")&amp;".jpg")</f>
        <v>Ch3_183_Medium_551.jpg</v>
      </c>
    </row>
    <row r="192" spans="1:9" ht="12.75" customHeight="1" x14ac:dyDescent="0.25">
      <c r="A192" s="2"/>
      <c r="B192" s="4" t="s">
        <v>26</v>
      </c>
      <c r="C192" s="9">
        <v>1.0105</v>
      </c>
      <c r="D192" s="9">
        <v>47.1789851290687</v>
      </c>
      <c r="E192" s="11">
        <v>466.88753220256001</v>
      </c>
      <c r="F192" s="12" t="str">
        <f>IF(NOT(ISNUMBER(E192)),"",IF(E192&lt;Bands!$B$4,"Low",IF(E192&lt;Bands!$B$5,"Medium",IF(E192&lt;Bands!$B$6,"High","Very high"))))</f>
        <v>Low</v>
      </c>
      <c r="G192" s="12" t="str">
        <f>IF(F192="","",IFERROR(INDEX(Bands!$D$3:$D$6,MATCH(F192,Bands!$A$3:$A$6,0)),""))</f>
        <v>Pale yellow to light golden, even colour, no brown spots</v>
      </c>
      <c r="H192" s="12" t="str">
        <f>IF(F192="","",IFERROR(INDEX(Bands!$J$3:$J$6,MATCH(F192,Bands!$A$3:$A$6,0)),""))</f>
        <v>Not deep golden-brown or reddish-brown (those match higher values). Avoid black or burnt chips.</v>
      </c>
      <c r="I192" s="12" t="str">
        <f>IF(F192="","","Ch3_"&amp;TEXT(COUNT($E$2:E192),"000")&amp;"_"&amp;SUBSTITUTE(F192," ","-")&amp;"_"&amp;TEXT(E192,"0")&amp;".jpg")</f>
        <v>Ch3_184_Low_467.jpg</v>
      </c>
    </row>
    <row r="193" spans="1:9" ht="12.75" customHeight="1" x14ac:dyDescent="0.25">
      <c r="A193" s="2"/>
      <c r="B193" s="4" t="s">
        <v>27</v>
      </c>
      <c r="C193" s="9">
        <v>1.0019</v>
      </c>
      <c r="D193" s="9">
        <v>137.500147536067</v>
      </c>
      <c r="E193" s="11">
        <v>1372.39392689956</v>
      </c>
      <c r="F193" s="12" t="str">
        <f>IF(NOT(ISNUMBER(E193)),"",IF(E193&lt;Bands!$B$4,"Low",IF(E193&lt;Bands!$B$5,"Medium",IF(E193&lt;Bands!$B$6,"High","Very high"))))</f>
        <v>High</v>
      </c>
      <c r="G193" s="12" t="str">
        <f>IF(F193="","",IFERROR(INDEX(Bands!$D$3:$D$6,MATCH(F193,Bands!$A$3:$A$6,0)),""))</f>
        <v>Golden-brown with a reddish tint, brown edges, somewhat uneven</v>
      </c>
      <c r="H193" s="12" t="str">
        <f>IF(F193="","",IFERROR(INDEX(Bands!$J$3:$J$6,MATCH(F193,Bands!$A$3:$A$6,0)),""))</f>
        <v>Not pale yellow, which would match a low value. Not black or burnt, since very dark chips can have lower acrylamide.</v>
      </c>
      <c r="I193" s="12" t="str">
        <f>IF(F193="","","Ch3_"&amp;TEXT(COUNT($E$2:E193),"000")&amp;"_"&amp;SUBSTITUTE(F193," ","-")&amp;"_"&amp;TEXT(E193,"0")&amp;".jpg")</f>
        <v>Ch3_185_High_1372.jpg</v>
      </c>
    </row>
    <row r="194" spans="1:9" ht="12.75" customHeight="1" x14ac:dyDescent="0.25">
      <c r="A194" s="2"/>
      <c r="B194" s="4" t="s">
        <v>28</v>
      </c>
      <c r="C194" s="9">
        <v>1.0064</v>
      </c>
      <c r="D194" s="9">
        <v>42.195533297068401</v>
      </c>
      <c r="E194" s="11">
        <v>419.27199222047301</v>
      </c>
      <c r="F194" s="12" t="str">
        <f>IF(NOT(ISNUMBER(E194)),"",IF(E194&lt;Bands!$B$4,"Low",IF(E194&lt;Bands!$B$5,"Medium",IF(E194&lt;Bands!$B$6,"High","Very high"))))</f>
        <v>Low</v>
      </c>
      <c r="G194" s="12" t="str">
        <f>IF(F194="","",IFERROR(INDEX(Bands!$D$3:$D$6,MATCH(F194,Bands!$A$3:$A$6,0)),""))</f>
        <v>Pale yellow to light golden, even colour, no brown spots</v>
      </c>
      <c r="H194" s="12" t="str">
        <f>IF(F194="","",IFERROR(INDEX(Bands!$J$3:$J$6,MATCH(F194,Bands!$A$3:$A$6,0)),""))</f>
        <v>Not deep golden-brown or reddish-brown (those match higher values). Avoid black or burnt chips.</v>
      </c>
      <c r="I194" s="12" t="str">
        <f>IF(F194="","","Ch3_"&amp;TEXT(COUNT($E$2:E194),"000")&amp;"_"&amp;SUBSTITUTE(F194," ","-")&amp;"_"&amp;TEXT(E194,"0")&amp;".jpg")</f>
        <v>Ch3_186_Low_419.jpg</v>
      </c>
    </row>
    <row r="195" spans="1:9" ht="12.75" customHeight="1" x14ac:dyDescent="0.25">
      <c r="A195" s="2"/>
      <c r="B195" s="4" t="s">
        <v>29</v>
      </c>
      <c r="C195" s="9">
        <v>0.98319999999999996</v>
      </c>
      <c r="D195" s="9">
        <v>70.478482465329606</v>
      </c>
      <c r="E195" s="11">
        <v>716.82752710872296</v>
      </c>
      <c r="F195" s="12" t="str">
        <f>IF(NOT(ISNUMBER(E195)),"",IF(E195&lt;Bands!$B$4,"Low",IF(E195&lt;Bands!$B$5,"Medium",IF(E195&lt;Bands!$B$6,"High","Very high"))))</f>
        <v>Medium</v>
      </c>
      <c r="G195" s="12" t="str">
        <f>IF(F195="","",IFERROR(INDEX(Bands!$D$3:$D$6,MATCH(F195,Bands!$A$3:$A$6,0)),""))</f>
        <v>Golden yellow with light brown at some edges or small spots</v>
      </c>
      <c r="H195" s="12" t="str">
        <f>IF(F195="","",IFERROR(INDEX(Bands!$J$3:$J$6,MATCH(F195,Bands!$A$3:$A$6,0)),""))</f>
        <v>Not pale yellow (matches a low value) and not deep reddish-brown (matches a high value). Avoid black or burnt chips.</v>
      </c>
      <c r="I195" s="12" t="str">
        <f>IF(F195="","","Ch3_"&amp;TEXT(COUNT($E$2:E195),"000")&amp;"_"&amp;SUBSTITUTE(F195," ","-")&amp;"_"&amp;TEXT(E195,"0")&amp;".jpg")</f>
        <v>Ch3_187_Medium_717.jpg</v>
      </c>
    </row>
    <row r="196" spans="1:9" ht="12.75" customHeight="1" x14ac:dyDescent="0.25">
      <c r="A196" s="2"/>
      <c r="B196" s="4" t="s">
        <v>30</v>
      </c>
      <c r="C196" s="9">
        <v>0.99590000000000001</v>
      </c>
      <c r="D196" s="9">
        <v>82.139941759969801</v>
      </c>
      <c r="E196" s="11">
        <v>824.78101978079906</v>
      </c>
      <c r="F196" s="12" t="str">
        <f>IF(NOT(ISNUMBER(E196)),"",IF(E196&lt;Bands!$B$4,"Low",IF(E196&lt;Bands!$B$5,"Medium",IF(E196&lt;Bands!$B$6,"High","Very high"))))</f>
        <v>Medium</v>
      </c>
      <c r="G196" s="12" t="str">
        <f>IF(F196="","",IFERROR(INDEX(Bands!$D$3:$D$6,MATCH(F196,Bands!$A$3:$A$6,0)),""))</f>
        <v>Golden yellow with light brown at some edges or small spots</v>
      </c>
      <c r="H196" s="12" t="str">
        <f>IF(F196="","",IFERROR(INDEX(Bands!$J$3:$J$6,MATCH(F196,Bands!$A$3:$A$6,0)),""))</f>
        <v>Not pale yellow (matches a low value) and not deep reddish-brown (matches a high value). Avoid black or burnt chips.</v>
      </c>
      <c r="I196" s="12" t="str">
        <f>IF(F196="","","Ch3_"&amp;TEXT(COUNT($E$2:E196),"000")&amp;"_"&amp;SUBSTITUTE(F196," ","-")&amp;"_"&amp;TEXT(E196,"0")&amp;".jpg")</f>
        <v>Ch3_188_Medium_825.jpg</v>
      </c>
    </row>
    <row r="197" spans="1:9" ht="12.75" customHeight="1" x14ac:dyDescent="0.25">
      <c r="A197" s="2"/>
      <c r="B197" s="4" t="s">
        <v>31</v>
      </c>
      <c r="C197" s="9">
        <v>0.98760000000000003</v>
      </c>
      <c r="D197" s="9">
        <v>117.597731011555</v>
      </c>
      <c r="E197" s="11">
        <v>1190.74251733045</v>
      </c>
      <c r="F197" s="12" t="str">
        <f>IF(NOT(ISNUMBER(E197)),"",IF(E197&lt;Bands!$B$4,"Low",IF(E197&lt;Bands!$B$5,"Medium",IF(E197&lt;Bands!$B$6,"High","Very high"))))</f>
        <v>High</v>
      </c>
      <c r="G197" s="12" t="str">
        <f>IF(F197="","",IFERROR(INDEX(Bands!$D$3:$D$6,MATCH(F197,Bands!$A$3:$A$6,0)),""))</f>
        <v>Golden-brown with a reddish tint, brown edges, somewhat uneven</v>
      </c>
      <c r="H197" s="12" t="str">
        <f>IF(F197="","",IFERROR(INDEX(Bands!$J$3:$J$6,MATCH(F197,Bands!$A$3:$A$6,0)),""))</f>
        <v>Not pale yellow, which would match a low value. Not black or burnt, since very dark chips can have lower acrylamide.</v>
      </c>
      <c r="I197" s="12" t="str">
        <f>IF(F197="","","Ch3_"&amp;TEXT(COUNT($E$2:E197),"000")&amp;"_"&amp;SUBSTITUTE(F197," ","-")&amp;"_"&amp;TEXT(E197,"0")&amp;".jpg")</f>
        <v>Ch3_189_High_1191.jpg</v>
      </c>
    </row>
    <row r="198" spans="1:9" ht="12.75" customHeight="1" x14ac:dyDescent="0.25">
      <c r="A198" s="2"/>
      <c r="B198" s="4" t="s">
        <v>32</v>
      </c>
      <c r="C198" s="9">
        <v>0.99050000000000005</v>
      </c>
      <c r="D198" s="9">
        <v>151.64242844582699</v>
      </c>
      <c r="E198" s="11">
        <v>1530.9684850664</v>
      </c>
      <c r="F198" s="12" t="str">
        <f>IF(NOT(ISNUMBER(E198)),"",IF(E198&lt;Bands!$B$4,"Low",IF(E198&lt;Bands!$B$5,"Medium",IF(E198&lt;Bands!$B$6,"High","Very high"))))</f>
        <v>High</v>
      </c>
      <c r="G198" s="12" t="str">
        <f>IF(F198="","",IFERROR(INDEX(Bands!$D$3:$D$6,MATCH(F198,Bands!$A$3:$A$6,0)),""))</f>
        <v>Golden-brown with a reddish tint, brown edges, somewhat uneven</v>
      </c>
      <c r="H198" s="12" t="str">
        <f>IF(F198="","",IFERROR(INDEX(Bands!$J$3:$J$6,MATCH(F198,Bands!$A$3:$A$6,0)),""))</f>
        <v>Not pale yellow, which would match a low value. Not black or burnt, since very dark chips can have lower acrylamide.</v>
      </c>
      <c r="I198" s="12" t="str">
        <f>IF(F198="","","Ch3_"&amp;TEXT(COUNT($E$2:E198),"000")&amp;"_"&amp;SUBSTITUTE(F198," ","-")&amp;"_"&amp;TEXT(E198,"0")&amp;".jpg")</f>
        <v>Ch3_190_High_1531.jpg</v>
      </c>
    </row>
    <row r="199" spans="1:9" ht="12.75" customHeight="1" x14ac:dyDescent="0.25">
      <c r="A199" s="2"/>
      <c r="B199" s="4" t="s">
        <v>33</v>
      </c>
      <c r="C199" s="9">
        <v>0.996</v>
      </c>
      <c r="D199" s="9">
        <v>109.92539379368</v>
      </c>
      <c r="E199" s="11">
        <v>1103.6686123863501</v>
      </c>
      <c r="F199" s="12" t="str">
        <f>IF(NOT(ISNUMBER(E199)),"",IF(E199&lt;Bands!$B$4,"Low",IF(E199&lt;Bands!$B$5,"Medium",IF(E199&lt;Bands!$B$6,"High","Very high"))))</f>
        <v>High</v>
      </c>
      <c r="G199" s="12" t="str">
        <f>IF(F199="","",IFERROR(INDEX(Bands!$D$3:$D$6,MATCH(F199,Bands!$A$3:$A$6,0)),""))</f>
        <v>Golden-brown with a reddish tint, brown edges, somewhat uneven</v>
      </c>
      <c r="H199" s="12" t="str">
        <f>IF(F199="","",IFERROR(INDEX(Bands!$J$3:$J$6,MATCH(F199,Bands!$A$3:$A$6,0)),""))</f>
        <v>Not pale yellow, which would match a low value. Not black or burnt, since very dark chips can have lower acrylamide.</v>
      </c>
      <c r="I199" s="12" t="str">
        <f>IF(F199="","","Ch3_"&amp;TEXT(COUNT($E$2:E199),"000")&amp;"_"&amp;SUBSTITUTE(F199," ","-")&amp;"_"&amp;TEXT(E199,"0")&amp;".jpg")</f>
        <v>Ch3_191_High_1104.jpg</v>
      </c>
    </row>
    <row r="201" spans="1:9" ht="12.75" customHeight="1" x14ac:dyDescent="0.25">
      <c r="A201" s="2" t="s">
        <v>47</v>
      </c>
      <c r="B201" s="4">
        <v>1</v>
      </c>
      <c r="C201" s="9">
        <v>0.996</v>
      </c>
      <c r="D201" s="9">
        <v>26.128606170869102</v>
      </c>
      <c r="E201" s="11">
        <v>262.33540332197902</v>
      </c>
      <c r="F201" s="12" t="str">
        <f>IF(NOT(ISNUMBER(E201)),"",IF(E201&lt;Bands!$B$4,"Low",IF(E201&lt;Bands!$B$5,"Medium",IF(E201&lt;Bands!$B$6,"High","Very high"))))</f>
        <v>Low</v>
      </c>
      <c r="G201" s="12" t="str">
        <f>IF(F201="","",IFERROR(INDEX(Bands!$D$3:$D$6,MATCH(F201,Bands!$A$3:$A$6,0)),""))</f>
        <v>Pale yellow to light golden, even colour, no brown spots</v>
      </c>
      <c r="H201" s="12" t="str">
        <f>IF(F201="","",IFERROR(INDEX(Bands!$J$3:$J$6,MATCH(F201,Bands!$A$3:$A$6,0)),""))</f>
        <v>Not deep golden-brown or reddish-brown (those match higher values). Avoid black or burnt chips.</v>
      </c>
      <c r="I201" s="12" t="str">
        <f>IF(F201="","","Ch3_"&amp;TEXT(COUNT($E$2:E201),"000")&amp;"_"&amp;SUBSTITUTE(F201," ","-")&amp;"_"&amp;TEXT(E201,"0")&amp;".jpg")</f>
        <v>Ch3_192_Low_262.jpg</v>
      </c>
    </row>
    <row r="202" spans="1:9" ht="12.75" customHeight="1" x14ac:dyDescent="0.25">
      <c r="A202" s="2"/>
      <c r="B202" s="4" t="s">
        <v>11</v>
      </c>
      <c r="C202" s="9">
        <v>0.99980000000000002</v>
      </c>
      <c r="D202" s="9">
        <v>23.429934754590398</v>
      </c>
      <c r="E202" s="11">
        <v>234.346216789262</v>
      </c>
      <c r="F202" s="12" t="str">
        <f>IF(NOT(ISNUMBER(E202)),"",IF(E202&lt;Bands!$B$4,"Low",IF(E202&lt;Bands!$B$5,"Medium",IF(E202&lt;Bands!$B$6,"High","Very high"))))</f>
        <v>Low</v>
      </c>
      <c r="G202" s="12" t="str">
        <f>IF(F202="","",IFERROR(INDEX(Bands!$D$3:$D$6,MATCH(F202,Bands!$A$3:$A$6,0)),""))</f>
        <v>Pale yellow to light golden, even colour, no brown spots</v>
      </c>
      <c r="H202" s="12" t="str">
        <f>IF(F202="","",IFERROR(INDEX(Bands!$J$3:$J$6,MATCH(F202,Bands!$A$3:$A$6,0)),""))</f>
        <v>Not deep golden-brown or reddish-brown (those match higher values). Avoid black or burnt chips.</v>
      </c>
      <c r="I202" s="12" t="str">
        <f>IF(F202="","","Ch3_"&amp;TEXT(COUNT($E$2:E202),"000")&amp;"_"&amp;SUBSTITUTE(F202," ","-")&amp;"_"&amp;TEXT(E202,"0")&amp;".jpg")</f>
        <v>Ch3_193_Low_234.jpg</v>
      </c>
    </row>
    <row r="203" spans="1:9" ht="12.75" customHeight="1" x14ac:dyDescent="0.25">
      <c r="A203" s="2"/>
      <c r="B203" s="4" t="s">
        <v>12</v>
      </c>
      <c r="C203" s="9">
        <v>1.0074000000000001</v>
      </c>
      <c r="D203" s="9">
        <v>36.406856872602297</v>
      </c>
      <c r="E203" s="11">
        <v>361.39425126664997</v>
      </c>
      <c r="F203" s="12" t="str">
        <f>IF(NOT(ISNUMBER(E203)),"",IF(E203&lt;Bands!$B$4,"Low",IF(E203&lt;Bands!$B$5,"Medium",IF(E203&lt;Bands!$B$6,"High","Very high"))))</f>
        <v>Low</v>
      </c>
      <c r="G203" s="12" t="str">
        <f>IF(F203="","",IFERROR(INDEX(Bands!$D$3:$D$6,MATCH(F203,Bands!$A$3:$A$6,0)),""))</f>
        <v>Pale yellow to light golden, even colour, no brown spots</v>
      </c>
      <c r="H203" s="12" t="str">
        <f>IF(F203="","",IFERROR(INDEX(Bands!$J$3:$J$6,MATCH(F203,Bands!$A$3:$A$6,0)),""))</f>
        <v>Not deep golden-brown or reddish-brown (those match higher values). Avoid black or burnt chips.</v>
      </c>
      <c r="I203" s="12" t="str">
        <f>IF(F203="","","Ch3_"&amp;TEXT(COUNT($E$2:E203),"000")&amp;"_"&amp;SUBSTITUTE(F203," ","-")&amp;"_"&amp;TEXT(E203,"0")&amp;".jpg")</f>
        <v>Ch3_194_Low_361.jpg</v>
      </c>
    </row>
    <row r="204" spans="1:9" ht="12.75" customHeight="1" x14ac:dyDescent="0.25">
      <c r="A204" s="2"/>
      <c r="B204" s="4" t="s">
        <v>13</v>
      </c>
      <c r="C204" s="9">
        <v>0.99360000000000004</v>
      </c>
      <c r="D204" s="9">
        <v>27.237713051642601</v>
      </c>
      <c r="E204" s="11">
        <v>274.13157258094401</v>
      </c>
      <c r="F204" s="12" t="str">
        <f>IF(NOT(ISNUMBER(E204)),"",IF(E204&lt;Bands!$B$4,"Low",IF(E204&lt;Bands!$B$5,"Medium",IF(E204&lt;Bands!$B$6,"High","Very high"))))</f>
        <v>Low</v>
      </c>
      <c r="G204" s="12" t="str">
        <f>IF(F204="","",IFERROR(INDEX(Bands!$D$3:$D$6,MATCH(F204,Bands!$A$3:$A$6,0)),""))</f>
        <v>Pale yellow to light golden, even colour, no brown spots</v>
      </c>
      <c r="H204" s="12" t="str">
        <f>IF(F204="","",IFERROR(INDEX(Bands!$J$3:$J$6,MATCH(F204,Bands!$A$3:$A$6,0)),""))</f>
        <v>Not deep golden-brown or reddish-brown (those match higher values). Avoid black or burnt chips.</v>
      </c>
      <c r="I204" s="12" t="str">
        <f>IF(F204="","","Ch3_"&amp;TEXT(COUNT($E$2:E204),"000")&amp;"_"&amp;SUBSTITUTE(F204," ","-")&amp;"_"&amp;TEXT(E204,"0")&amp;".jpg")</f>
        <v>Ch3_195_Low_274.jpg</v>
      </c>
    </row>
    <row r="205" spans="1:9" ht="12.75" customHeight="1" x14ac:dyDescent="0.25">
      <c r="A205" s="2"/>
      <c r="B205" s="4" t="s">
        <v>14</v>
      </c>
      <c r="C205" s="9">
        <v>1.0159</v>
      </c>
      <c r="D205" s="9">
        <v>27.645378555868</v>
      </c>
      <c r="E205" s="11">
        <v>272.12696678677003</v>
      </c>
      <c r="F205" s="12" t="str">
        <f>IF(NOT(ISNUMBER(E205)),"",IF(E205&lt;Bands!$B$4,"Low",IF(E205&lt;Bands!$B$5,"Medium",IF(E205&lt;Bands!$B$6,"High","Very high"))))</f>
        <v>Low</v>
      </c>
      <c r="G205" s="12" t="str">
        <f>IF(F205="","",IFERROR(INDEX(Bands!$D$3:$D$6,MATCH(F205,Bands!$A$3:$A$6,0)),""))</f>
        <v>Pale yellow to light golden, even colour, no brown spots</v>
      </c>
      <c r="H205" s="12" t="str">
        <f>IF(F205="","",IFERROR(INDEX(Bands!$J$3:$J$6,MATCH(F205,Bands!$A$3:$A$6,0)),""))</f>
        <v>Not deep golden-brown or reddish-brown (those match higher values). Avoid black or burnt chips.</v>
      </c>
      <c r="I205" s="12" t="str">
        <f>IF(F205="","","Ch3_"&amp;TEXT(COUNT($E$2:E205),"000")&amp;"_"&amp;SUBSTITUTE(F205," ","-")&amp;"_"&amp;TEXT(E205,"0")&amp;".jpg")</f>
        <v>Ch3_196_Low_272.jpg</v>
      </c>
    </row>
    <row r="206" spans="1:9" ht="12.75" customHeight="1" x14ac:dyDescent="0.25">
      <c r="A206" s="2"/>
      <c r="B206" s="4" t="s">
        <v>15</v>
      </c>
      <c r="C206" s="9">
        <v>0.99860000000000004</v>
      </c>
      <c r="D206" s="9">
        <v>37.736029763476701</v>
      </c>
      <c r="E206" s="11">
        <v>377.88934271456702</v>
      </c>
      <c r="F206" s="12" t="str">
        <f>IF(NOT(ISNUMBER(E206)),"",IF(E206&lt;Bands!$B$4,"Low",IF(E206&lt;Bands!$B$5,"Medium",IF(E206&lt;Bands!$B$6,"High","Very high"))))</f>
        <v>Low</v>
      </c>
      <c r="G206" s="12" t="str">
        <f>IF(F206="","",IFERROR(INDEX(Bands!$D$3:$D$6,MATCH(F206,Bands!$A$3:$A$6,0)),""))</f>
        <v>Pale yellow to light golden, even colour, no brown spots</v>
      </c>
      <c r="H206" s="12" t="str">
        <f>IF(F206="","",IFERROR(INDEX(Bands!$J$3:$J$6,MATCH(F206,Bands!$A$3:$A$6,0)),""))</f>
        <v>Not deep golden-brown or reddish-brown (those match higher values). Avoid black or burnt chips.</v>
      </c>
      <c r="I206" s="12" t="str">
        <f>IF(F206="","","Ch3_"&amp;TEXT(COUNT($E$2:E206),"000")&amp;"_"&amp;SUBSTITUTE(F206," ","-")&amp;"_"&amp;TEXT(E206,"0")&amp;".jpg")</f>
        <v>Ch3_197_Low_378.jpg</v>
      </c>
    </row>
    <row r="207" spans="1:9" ht="12.75" customHeight="1" x14ac:dyDescent="0.25">
      <c r="A207" s="2"/>
      <c r="B207" s="4" t="s">
        <v>16</v>
      </c>
      <c r="C207" s="9">
        <v>1.0339</v>
      </c>
      <c r="D207" s="9">
        <v>92.424953672118207</v>
      </c>
      <c r="E207" s="11">
        <v>893.94480773883595</v>
      </c>
      <c r="F207" s="12" t="str">
        <f>IF(NOT(ISNUMBER(E207)),"",IF(E207&lt;Bands!$B$4,"Low",IF(E207&lt;Bands!$B$5,"Medium",IF(E207&lt;Bands!$B$6,"High","Very high"))))</f>
        <v>Medium</v>
      </c>
      <c r="G207" s="12" t="str">
        <f>IF(F207="","",IFERROR(INDEX(Bands!$D$3:$D$6,MATCH(F207,Bands!$A$3:$A$6,0)),""))</f>
        <v>Golden yellow with light brown at some edges or small spots</v>
      </c>
      <c r="H207" s="12" t="str">
        <f>IF(F207="","",IFERROR(INDEX(Bands!$J$3:$J$6,MATCH(F207,Bands!$A$3:$A$6,0)),""))</f>
        <v>Not pale yellow (matches a low value) and not deep reddish-brown (matches a high value). Avoid black or burnt chips.</v>
      </c>
      <c r="I207" s="12" t="str">
        <f>IF(F207="","","Ch3_"&amp;TEXT(COUNT($E$2:E207),"000")&amp;"_"&amp;SUBSTITUTE(F207," ","-")&amp;"_"&amp;TEXT(E207,"0")&amp;".jpg")</f>
        <v>Ch3_198_Medium_894.jpg</v>
      </c>
    </row>
    <row r="208" spans="1:9" ht="12.75" customHeight="1" x14ac:dyDescent="0.25">
      <c r="A208" s="2"/>
      <c r="B208" s="4" t="s">
        <v>17</v>
      </c>
      <c r="C208" s="9">
        <v>0.99739999999999995</v>
      </c>
      <c r="D208" s="9">
        <v>80.720967684142906</v>
      </c>
      <c r="E208" s="11">
        <v>809.31389296313296</v>
      </c>
      <c r="F208" s="12" t="str">
        <f>IF(NOT(ISNUMBER(E208)),"",IF(E208&lt;Bands!$B$4,"Low",IF(E208&lt;Bands!$B$5,"Medium",IF(E208&lt;Bands!$B$6,"High","Very high"))))</f>
        <v>Medium</v>
      </c>
      <c r="G208" s="12" t="str">
        <f>IF(F208="","",IFERROR(INDEX(Bands!$D$3:$D$6,MATCH(F208,Bands!$A$3:$A$6,0)),""))</f>
        <v>Golden yellow with light brown at some edges or small spots</v>
      </c>
      <c r="H208" s="12" t="str">
        <f>IF(F208="","",IFERROR(INDEX(Bands!$J$3:$J$6,MATCH(F208,Bands!$A$3:$A$6,0)),""))</f>
        <v>Not pale yellow (matches a low value) and not deep reddish-brown (matches a high value). Avoid black or burnt chips.</v>
      </c>
      <c r="I208" s="12" t="str">
        <f>IF(F208="","","Ch3_"&amp;TEXT(COUNT($E$2:E208),"000")&amp;"_"&amp;SUBSTITUTE(F208," ","-")&amp;"_"&amp;TEXT(E208,"0")&amp;".jpg")</f>
        <v>Ch3_199_Medium_809.jpg</v>
      </c>
    </row>
    <row r="209" spans="1:9" ht="12.75" customHeight="1" x14ac:dyDescent="0.25">
      <c r="A209" s="2"/>
      <c r="B209" s="4" t="s">
        <v>18</v>
      </c>
      <c r="C209" s="9">
        <v>0.98880000000000001</v>
      </c>
      <c r="D209" s="9">
        <v>48.488380420554002</v>
      </c>
      <c r="E209" s="11">
        <v>490.37601558003598</v>
      </c>
      <c r="F209" s="12" t="str">
        <f>IF(NOT(ISNUMBER(E209)),"",IF(E209&lt;Bands!$B$4,"Low",IF(E209&lt;Bands!$B$5,"Medium",IF(E209&lt;Bands!$B$6,"High","Very high"))))</f>
        <v>Low</v>
      </c>
      <c r="G209" s="12" t="str">
        <f>IF(F209="","",IFERROR(INDEX(Bands!$D$3:$D$6,MATCH(F209,Bands!$A$3:$A$6,0)),""))</f>
        <v>Pale yellow to light golden, even colour, no brown spots</v>
      </c>
      <c r="H209" s="12" t="str">
        <f>IF(F209="","",IFERROR(INDEX(Bands!$J$3:$J$6,MATCH(F209,Bands!$A$3:$A$6,0)),""))</f>
        <v>Not deep golden-brown or reddish-brown (those match higher values). Avoid black or burnt chips.</v>
      </c>
      <c r="I209" s="12" t="str">
        <f>IF(F209="","","Ch3_"&amp;TEXT(COUNT($E$2:E209),"000")&amp;"_"&amp;SUBSTITUTE(F209," ","-")&amp;"_"&amp;TEXT(E209,"0")&amp;".jpg")</f>
        <v>Ch3_200_Low_490.jpg</v>
      </c>
    </row>
    <row r="210" spans="1:9" ht="12.75" customHeight="1" x14ac:dyDescent="0.25">
      <c r="A210" s="2"/>
      <c r="B210" s="4" t="s">
        <v>19</v>
      </c>
      <c r="C210" s="9">
        <v>1.0081</v>
      </c>
      <c r="D210" s="9">
        <v>38.565913909323598</v>
      </c>
      <c r="E210" s="11">
        <v>382.56039985441498</v>
      </c>
      <c r="F210" s="12" t="str">
        <f>IF(NOT(ISNUMBER(E210)),"",IF(E210&lt;Bands!$B$4,"Low",IF(E210&lt;Bands!$B$5,"Medium",IF(E210&lt;Bands!$B$6,"High","Very high"))))</f>
        <v>Low</v>
      </c>
      <c r="G210" s="12" t="str">
        <f>IF(F210="","",IFERROR(INDEX(Bands!$D$3:$D$6,MATCH(F210,Bands!$A$3:$A$6,0)),""))</f>
        <v>Pale yellow to light golden, even colour, no brown spots</v>
      </c>
      <c r="H210" s="12" t="str">
        <f>IF(F210="","",IFERROR(INDEX(Bands!$J$3:$J$6,MATCH(F210,Bands!$A$3:$A$6,0)),""))</f>
        <v>Not deep golden-brown or reddish-brown (those match higher values). Avoid black or burnt chips.</v>
      </c>
      <c r="I210" s="12" t="str">
        <f>IF(F210="","","Ch3_"&amp;TEXT(COUNT($E$2:E210),"000")&amp;"_"&amp;SUBSTITUTE(F210," ","-")&amp;"_"&amp;TEXT(E210,"0")&amp;".jpg")</f>
        <v>Ch3_201_Low_383.jpg</v>
      </c>
    </row>
    <row r="211" spans="1:9" ht="12.75" customHeight="1" x14ac:dyDescent="0.25">
      <c r="A211" s="2"/>
      <c r="B211" s="4" t="s">
        <v>20</v>
      </c>
      <c r="C211" s="9">
        <v>1.0037</v>
      </c>
      <c r="D211" s="9">
        <v>29.1496458047395</v>
      </c>
      <c r="E211" s="11">
        <v>290.42189702838999</v>
      </c>
      <c r="F211" s="12" t="str">
        <f>IF(NOT(ISNUMBER(E211)),"",IF(E211&lt;Bands!$B$4,"Low",IF(E211&lt;Bands!$B$5,"Medium",IF(E211&lt;Bands!$B$6,"High","Very high"))))</f>
        <v>Low</v>
      </c>
      <c r="G211" s="12" t="str">
        <f>IF(F211="","",IFERROR(INDEX(Bands!$D$3:$D$6,MATCH(F211,Bands!$A$3:$A$6,0)),""))</f>
        <v>Pale yellow to light golden, even colour, no brown spots</v>
      </c>
      <c r="H211" s="12" t="str">
        <f>IF(F211="","",IFERROR(INDEX(Bands!$J$3:$J$6,MATCH(F211,Bands!$A$3:$A$6,0)),""))</f>
        <v>Not deep golden-brown or reddish-brown (those match higher values). Avoid black or burnt chips.</v>
      </c>
      <c r="I211" s="12" t="str">
        <f>IF(F211="","","Ch3_"&amp;TEXT(COUNT($E$2:E211),"000")&amp;"_"&amp;SUBSTITUTE(F211," ","-")&amp;"_"&amp;TEXT(E211,"0")&amp;".jpg")</f>
        <v>Ch3_202_Low_290.jpg</v>
      </c>
    </row>
    <row r="212" spans="1:9" ht="12.75" customHeight="1" x14ac:dyDescent="0.25">
      <c r="A212" s="2"/>
      <c r="B212" s="4" t="s">
        <v>21</v>
      </c>
      <c r="C212" s="9">
        <v>1.006</v>
      </c>
      <c r="D212" s="9">
        <v>42.686018525913603</v>
      </c>
      <c r="E212" s="11">
        <v>424.31429946236199</v>
      </c>
      <c r="F212" s="12" t="str">
        <f>IF(NOT(ISNUMBER(E212)),"",IF(E212&lt;Bands!$B$4,"Low",IF(E212&lt;Bands!$B$5,"Medium",IF(E212&lt;Bands!$B$6,"High","Very high"))))</f>
        <v>Low</v>
      </c>
      <c r="G212" s="12" t="str">
        <f>IF(F212="","",IFERROR(INDEX(Bands!$D$3:$D$6,MATCH(F212,Bands!$A$3:$A$6,0)),""))</f>
        <v>Pale yellow to light golden, even colour, no brown spots</v>
      </c>
      <c r="H212" s="12" t="str">
        <f>IF(F212="","",IFERROR(INDEX(Bands!$J$3:$J$6,MATCH(F212,Bands!$A$3:$A$6,0)),""))</f>
        <v>Not deep golden-brown or reddish-brown (those match higher values). Avoid black or burnt chips.</v>
      </c>
      <c r="I212" s="12" t="str">
        <f>IF(F212="","","Ch3_"&amp;TEXT(COUNT($E$2:E212),"000")&amp;"_"&amp;SUBSTITUTE(F212," ","-")&amp;"_"&amp;TEXT(E212,"0")&amp;".jpg")</f>
        <v>Ch3_203_Low_424.jpg</v>
      </c>
    </row>
    <row r="213" spans="1:9" ht="12.75" customHeight="1" x14ac:dyDescent="0.25">
      <c r="C213" s="9"/>
      <c r="D213" s="9"/>
      <c r="E213" s="11"/>
    </row>
    <row r="214" spans="1:9" ht="12.75" customHeight="1" x14ac:dyDescent="0.25">
      <c r="A214" s="2" t="s">
        <v>48</v>
      </c>
      <c r="B214" s="4" t="s">
        <v>10</v>
      </c>
      <c r="C214" s="9">
        <v>1.0049999999999999</v>
      </c>
      <c r="D214" s="9">
        <v>39.710085999180201</v>
      </c>
      <c r="E214" s="11">
        <v>395.12523382268898</v>
      </c>
      <c r="F214" s="12" t="str">
        <f>IF(NOT(ISNUMBER(E214)),"",IF(E214&lt;Bands!$B$4,"Low",IF(E214&lt;Bands!$B$5,"Medium",IF(E214&lt;Bands!$B$6,"High","Very high"))))</f>
        <v>Low</v>
      </c>
      <c r="G214" s="12" t="str">
        <f>IF(F214="","",IFERROR(INDEX(Bands!$D$3:$D$6,MATCH(F214,Bands!$A$3:$A$6,0)),""))</f>
        <v>Pale yellow to light golden, even colour, no brown spots</v>
      </c>
      <c r="H214" s="12" t="str">
        <f>IF(F214="","",IFERROR(INDEX(Bands!$J$3:$J$6,MATCH(F214,Bands!$A$3:$A$6,0)),""))</f>
        <v>Not deep golden-brown or reddish-brown (those match higher values). Avoid black or burnt chips.</v>
      </c>
      <c r="I214" s="12" t="str">
        <f>IF(F214="","","Ch3_"&amp;TEXT(COUNT($E$2:E214),"000")&amp;"_"&amp;SUBSTITUTE(F214," ","-")&amp;"_"&amp;TEXT(E214,"0")&amp;".jpg")</f>
        <v>Ch3_204_Low_395.jpg</v>
      </c>
    </row>
    <row r="215" spans="1:9" ht="12.75" customHeight="1" x14ac:dyDescent="0.25">
      <c r="A215" s="2"/>
      <c r="B215" s="4" t="s">
        <v>11</v>
      </c>
      <c r="C215" s="9">
        <v>1.0043</v>
      </c>
      <c r="D215" s="9">
        <v>28.099151446547701</v>
      </c>
      <c r="E215" s="11">
        <v>279.78842424124002</v>
      </c>
      <c r="F215" s="12" t="str">
        <f>IF(NOT(ISNUMBER(E215)),"",IF(E215&lt;Bands!$B$4,"Low",IF(E215&lt;Bands!$B$5,"Medium",IF(E215&lt;Bands!$B$6,"High","Very high"))))</f>
        <v>Low</v>
      </c>
      <c r="G215" s="12" t="str">
        <f>IF(F215="","",IFERROR(INDEX(Bands!$D$3:$D$6,MATCH(F215,Bands!$A$3:$A$6,0)),""))</f>
        <v>Pale yellow to light golden, even colour, no brown spots</v>
      </c>
      <c r="H215" s="12" t="str">
        <f>IF(F215="","",IFERROR(INDEX(Bands!$J$3:$J$6,MATCH(F215,Bands!$A$3:$A$6,0)),""))</f>
        <v>Not deep golden-brown or reddish-brown (those match higher values). Avoid black or burnt chips.</v>
      </c>
      <c r="I215" s="12" t="str">
        <f>IF(F215="","","Ch3_"&amp;TEXT(COUNT($E$2:E215),"000")&amp;"_"&amp;SUBSTITUTE(F215," ","-")&amp;"_"&amp;TEXT(E215,"0")&amp;".jpg")</f>
        <v>Ch3_205_Low_280.jpg</v>
      </c>
    </row>
    <row r="216" spans="1:9" ht="12.75" customHeight="1" x14ac:dyDescent="0.25">
      <c r="A216" s="2"/>
      <c r="B216" s="4" t="s">
        <v>12</v>
      </c>
      <c r="C216" s="9">
        <v>1.0213000000000001</v>
      </c>
      <c r="D216" s="9">
        <v>26.194416622816298</v>
      </c>
      <c r="E216" s="11">
        <v>256.48111840611301</v>
      </c>
      <c r="F216" s="12" t="str">
        <f>IF(NOT(ISNUMBER(E216)),"",IF(E216&lt;Bands!$B$4,"Low",IF(E216&lt;Bands!$B$5,"Medium",IF(E216&lt;Bands!$B$6,"High","Very high"))))</f>
        <v>Low</v>
      </c>
      <c r="G216" s="12" t="str">
        <f>IF(F216="","",IFERROR(INDEX(Bands!$D$3:$D$6,MATCH(F216,Bands!$A$3:$A$6,0)),""))</f>
        <v>Pale yellow to light golden, even colour, no brown spots</v>
      </c>
      <c r="H216" s="12" t="str">
        <f>IF(F216="","",IFERROR(INDEX(Bands!$J$3:$J$6,MATCH(F216,Bands!$A$3:$A$6,0)),""))</f>
        <v>Not deep golden-brown or reddish-brown (those match higher values). Avoid black or burnt chips.</v>
      </c>
      <c r="I216" s="12" t="str">
        <f>IF(F216="","","Ch3_"&amp;TEXT(COUNT($E$2:E216),"000")&amp;"_"&amp;SUBSTITUTE(F216," ","-")&amp;"_"&amp;TEXT(E216,"0")&amp;".jpg")</f>
        <v>Ch3_206_Low_256.jpg</v>
      </c>
    </row>
    <row r="217" spans="1:9" ht="12.75" customHeight="1" x14ac:dyDescent="0.25">
      <c r="A217" s="2"/>
      <c r="B217" s="4" t="s">
        <v>13</v>
      </c>
      <c r="C217" s="9">
        <v>1.0015000000000001</v>
      </c>
      <c r="D217" s="9">
        <v>30.140121251615302</v>
      </c>
      <c r="E217" s="11">
        <v>300.94978783440098</v>
      </c>
      <c r="F217" s="12" t="str">
        <f>IF(NOT(ISNUMBER(E217)),"",IF(E217&lt;Bands!$B$4,"Low",IF(E217&lt;Bands!$B$5,"Medium",IF(E217&lt;Bands!$B$6,"High","Very high"))))</f>
        <v>Low</v>
      </c>
      <c r="G217" s="12" t="str">
        <f>IF(F217="","",IFERROR(INDEX(Bands!$D$3:$D$6,MATCH(F217,Bands!$A$3:$A$6,0)),""))</f>
        <v>Pale yellow to light golden, even colour, no brown spots</v>
      </c>
      <c r="H217" s="12" t="str">
        <f>IF(F217="","",IFERROR(INDEX(Bands!$J$3:$J$6,MATCH(F217,Bands!$A$3:$A$6,0)),""))</f>
        <v>Not deep golden-brown or reddish-brown (those match higher values). Avoid black or burnt chips.</v>
      </c>
      <c r="I217" s="12" t="str">
        <f>IF(F217="","","Ch3_"&amp;TEXT(COUNT($E$2:E217),"000")&amp;"_"&amp;SUBSTITUTE(F217," ","-")&amp;"_"&amp;TEXT(E217,"0")&amp;".jpg")</f>
        <v>Ch3_207_Low_301.jpg</v>
      </c>
    </row>
    <row r="218" spans="1:9" ht="12.75" customHeight="1" x14ac:dyDescent="0.25">
      <c r="A218" s="2"/>
      <c r="B218" s="4" t="s">
        <v>14</v>
      </c>
      <c r="C218" s="9">
        <v>1.0024</v>
      </c>
      <c r="D218" s="9">
        <v>21.625462247545801</v>
      </c>
      <c r="E218" s="11">
        <v>215.73685402579599</v>
      </c>
      <c r="F218" s="12" t="str">
        <f>IF(NOT(ISNUMBER(E218)),"",IF(E218&lt;Bands!$B$4,"Low",IF(E218&lt;Bands!$B$5,"Medium",IF(E218&lt;Bands!$B$6,"High","Very high"))))</f>
        <v>Low</v>
      </c>
      <c r="G218" s="12" t="str">
        <f>IF(F218="","",IFERROR(INDEX(Bands!$D$3:$D$6,MATCH(F218,Bands!$A$3:$A$6,0)),""))</f>
        <v>Pale yellow to light golden, even colour, no brown spots</v>
      </c>
      <c r="H218" s="12" t="str">
        <f>IF(F218="","",IFERROR(INDEX(Bands!$J$3:$J$6,MATCH(F218,Bands!$A$3:$A$6,0)),""))</f>
        <v>Not deep golden-brown or reddish-brown (those match higher values). Avoid black or burnt chips.</v>
      </c>
      <c r="I218" s="12" t="str">
        <f>IF(F218="","","Ch3_"&amp;TEXT(COUNT($E$2:E218),"000")&amp;"_"&amp;SUBSTITUTE(F218," ","-")&amp;"_"&amp;TEXT(E218,"0")&amp;".jpg")</f>
        <v>Ch3_208_Low_216.jpg</v>
      </c>
    </row>
    <row r="219" spans="1:9" ht="12.75" customHeight="1" x14ac:dyDescent="0.25">
      <c r="A219" s="2"/>
      <c r="B219" s="4" t="s">
        <v>15</v>
      </c>
      <c r="C219" s="9">
        <v>0.99860000000000004</v>
      </c>
      <c r="D219" s="9">
        <v>31.877705182512798</v>
      </c>
      <c r="E219" s="11">
        <v>319.22396537665497</v>
      </c>
      <c r="F219" s="12" t="str">
        <f>IF(NOT(ISNUMBER(E219)),"",IF(E219&lt;Bands!$B$4,"Low",IF(E219&lt;Bands!$B$5,"Medium",IF(E219&lt;Bands!$B$6,"High","Very high"))))</f>
        <v>Low</v>
      </c>
      <c r="G219" s="12" t="str">
        <f>IF(F219="","",IFERROR(INDEX(Bands!$D$3:$D$6,MATCH(F219,Bands!$A$3:$A$6,0)),""))</f>
        <v>Pale yellow to light golden, even colour, no brown spots</v>
      </c>
      <c r="H219" s="12" t="str">
        <f>IF(F219="","",IFERROR(INDEX(Bands!$J$3:$J$6,MATCH(F219,Bands!$A$3:$A$6,0)),""))</f>
        <v>Not deep golden-brown or reddish-brown (those match higher values). Avoid black or burnt chips.</v>
      </c>
      <c r="I219" s="12" t="str">
        <f>IF(F219="","","Ch3_"&amp;TEXT(COUNT($E$2:E219),"000")&amp;"_"&amp;SUBSTITUTE(F219," ","-")&amp;"_"&amp;TEXT(E219,"0")&amp;".jpg")</f>
        <v>Ch3_209_Low_319.jpg</v>
      </c>
    </row>
    <row r="220" spans="1:9" ht="12.75" customHeight="1" x14ac:dyDescent="0.25">
      <c r="A220" s="2"/>
      <c r="B220" s="4" t="s">
        <v>16</v>
      </c>
      <c r="C220" s="9">
        <v>1.004</v>
      </c>
      <c r="D220" s="9">
        <v>30.5011794520811</v>
      </c>
      <c r="E220" s="11">
        <v>303.79660808845699</v>
      </c>
      <c r="F220" s="12" t="str">
        <f>IF(NOT(ISNUMBER(E220)),"",IF(E220&lt;Bands!$B$4,"Low",IF(E220&lt;Bands!$B$5,"Medium",IF(E220&lt;Bands!$B$6,"High","Very high"))))</f>
        <v>Low</v>
      </c>
      <c r="G220" s="12" t="str">
        <f>IF(F220="","",IFERROR(INDEX(Bands!$D$3:$D$6,MATCH(F220,Bands!$A$3:$A$6,0)),""))</f>
        <v>Pale yellow to light golden, even colour, no brown spots</v>
      </c>
      <c r="H220" s="12" t="str">
        <f>IF(F220="","",IFERROR(INDEX(Bands!$J$3:$J$6,MATCH(F220,Bands!$A$3:$A$6,0)),""))</f>
        <v>Not deep golden-brown or reddish-brown (those match higher values). Avoid black or burnt chips.</v>
      </c>
      <c r="I220" s="12" t="str">
        <f>IF(F220="","","Ch3_"&amp;TEXT(COUNT($E$2:E220),"000")&amp;"_"&amp;SUBSTITUTE(F220," ","-")&amp;"_"&amp;TEXT(E220,"0")&amp;".jpg")</f>
        <v>Ch3_210_Low_304.jpg</v>
      </c>
    </row>
    <row r="221" spans="1:9" ht="12.75" customHeight="1" x14ac:dyDescent="0.25">
      <c r="A221" s="2"/>
      <c r="B221" s="4" t="s">
        <v>17</v>
      </c>
      <c r="C221" s="9">
        <v>0.98409999999999997</v>
      </c>
      <c r="D221" s="9">
        <v>38.256633409928099</v>
      </c>
      <c r="E221" s="11">
        <v>388.74741804621601</v>
      </c>
      <c r="F221" s="12" t="str">
        <f>IF(NOT(ISNUMBER(E221)),"",IF(E221&lt;Bands!$B$4,"Low",IF(E221&lt;Bands!$B$5,"Medium",IF(E221&lt;Bands!$B$6,"High","Very high"))))</f>
        <v>Low</v>
      </c>
      <c r="G221" s="12" t="str">
        <f>IF(F221="","",IFERROR(INDEX(Bands!$D$3:$D$6,MATCH(F221,Bands!$A$3:$A$6,0)),""))</f>
        <v>Pale yellow to light golden, even colour, no brown spots</v>
      </c>
      <c r="H221" s="12" t="str">
        <f>IF(F221="","",IFERROR(INDEX(Bands!$J$3:$J$6,MATCH(F221,Bands!$A$3:$A$6,0)),""))</f>
        <v>Not deep golden-brown or reddish-brown (those match higher values). Avoid black or burnt chips.</v>
      </c>
      <c r="I221" s="12" t="str">
        <f>IF(F221="","","Ch3_"&amp;TEXT(COUNT($E$2:E221),"000")&amp;"_"&amp;SUBSTITUTE(F221," ","-")&amp;"_"&amp;TEXT(E221,"0")&amp;".jpg")</f>
        <v>Ch3_211_Low_389.jpg</v>
      </c>
    </row>
    <row r="222" spans="1:9" ht="12.75" customHeight="1" x14ac:dyDescent="0.25">
      <c r="A222" s="2"/>
      <c r="B222" s="4" t="s">
        <v>18</v>
      </c>
      <c r="C222" s="9">
        <v>1.0021</v>
      </c>
      <c r="D222" s="9">
        <v>34.0227330187018</v>
      </c>
      <c r="E222" s="11">
        <v>339.51435005190899</v>
      </c>
      <c r="F222" s="12" t="str">
        <f>IF(NOT(ISNUMBER(E222)),"",IF(E222&lt;Bands!$B$4,"Low",IF(E222&lt;Bands!$B$5,"Medium",IF(E222&lt;Bands!$B$6,"High","Very high"))))</f>
        <v>Low</v>
      </c>
      <c r="G222" s="12" t="str">
        <f>IF(F222="","",IFERROR(INDEX(Bands!$D$3:$D$6,MATCH(F222,Bands!$A$3:$A$6,0)),""))</f>
        <v>Pale yellow to light golden, even colour, no brown spots</v>
      </c>
      <c r="H222" s="12" t="str">
        <f>IF(F222="","",IFERROR(INDEX(Bands!$J$3:$J$6,MATCH(F222,Bands!$A$3:$A$6,0)),""))</f>
        <v>Not deep golden-brown or reddish-brown (those match higher values). Avoid black or burnt chips.</v>
      </c>
      <c r="I222" s="12" t="str">
        <f>IF(F222="","","Ch3_"&amp;TEXT(COUNT($E$2:E222),"000")&amp;"_"&amp;SUBSTITUTE(F222," ","-")&amp;"_"&amp;TEXT(E222,"0")&amp;".jpg")</f>
        <v>Ch3_212_Low_340.jpg</v>
      </c>
    </row>
    <row r="223" spans="1:9" ht="12.75" customHeight="1" x14ac:dyDescent="0.25">
      <c r="A223" s="2"/>
      <c r="B223" s="4" t="s">
        <v>19</v>
      </c>
      <c r="C223" s="9">
        <v>1.0161</v>
      </c>
      <c r="D223" s="9">
        <v>22.304134893258801</v>
      </c>
      <c r="E223" s="11">
        <v>219.50728169726199</v>
      </c>
      <c r="F223" s="12" t="str">
        <f>IF(NOT(ISNUMBER(E223)),"",IF(E223&lt;Bands!$B$4,"Low",IF(E223&lt;Bands!$B$5,"Medium",IF(E223&lt;Bands!$B$6,"High","Very high"))))</f>
        <v>Low</v>
      </c>
      <c r="G223" s="12" t="str">
        <f>IF(F223="","",IFERROR(INDEX(Bands!$D$3:$D$6,MATCH(F223,Bands!$A$3:$A$6,0)),""))</f>
        <v>Pale yellow to light golden, even colour, no brown spots</v>
      </c>
      <c r="H223" s="12" t="str">
        <f>IF(F223="","",IFERROR(INDEX(Bands!$J$3:$J$6,MATCH(F223,Bands!$A$3:$A$6,0)),""))</f>
        <v>Not deep golden-brown or reddish-brown (those match higher values). Avoid black or burnt chips.</v>
      </c>
      <c r="I223" s="12" t="str">
        <f>IF(F223="","","Ch3_"&amp;TEXT(COUNT($E$2:E223),"000")&amp;"_"&amp;SUBSTITUTE(F223," ","-")&amp;"_"&amp;TEXT(E223,"0")&amp;".jpg")</f>
        <v>Ch3_213_Low_220.jpg</v>
      </c>
    </row>
    <row r="224" spans="1:9" ht="12.75" customHeight="1" x14ac:dyDescent="0.25">
      <c r="A224" s="2"/>
      <c r="B224" s="4" t="s">
        <v>20</v>
      </c>
      <c r="C224" s="9">
        <v>1.0081</v>
      </c>
      <c r="D224" s="9">
        <v>32.165812613572697</v>
      </c>
      <c r="E224" s="11">
        <v>319.073629734875</v>
      </c>
      <c r="F224" s="12" t="str">
        <f>IF(NOT(ISNUMBER(E224)),"",IF(E224&lt;Bands!$B$4,"Low",IF(E224&lt;Bands!$B$5,"Medium",IF(E224&lt;Bands!$B$6,"High","Very high"))))</f>
        <v>Low</v>
      </c>
      <c r="G224" s="12" t="str">
        <f>IF(F224="","",IFERROR(INDEX(Bands!$D$3:$D$6,MATCH(F224,Bands!$A$3:$A$6,0)),""))</f>
        <v>Pale yellow to light golden, even colour, no brown spots</v>
      </c>
      <c r="H224" s="12" t="str">
        <f>IF(F224="","",IFERROR(INDEX(Bands!$J$3:$J$6,MATCH(F224,Bands!$A$3:$A$6,0)),""))</f>
        <v>Not deep golden-brown or reddish-brown (those match higher values). Avoid black or burnt chips.</v>
      </c>
      <c r="I224" s="12" t="str">
        <f>IF(F224="","","Ch3_"&amp;TEXT(COUNT($E$2:E224),"000")&amp;"_"&amp;SUBSTITUTE(F224," ","-")&amp;"_"&amp;TEXT(E224,"0")&amp;".jpg")</f>
        <v>Ch3_214_Low_319.jpg</v>
      </c>
    </row>
    <row r="225" spans="1:9" ht="12.75" customHeight="1" x14ac:dyDescent="0.25">
      <c r="A225" s="2"/>
      <c r="B225" s="4" t="s">
        <v>21</v>
      </c>
      <c r="C225" s="9">
        <v>0.99629999999999996</v>
      </c>
      <c r="D225" s="9">
        <v>23.668207809856</v>
      </c>
      <c r="E225" s="11">
        <v>237.561053998354</v>
      </c>
      <c r="F225" s="12" t="str">
        <f>IF(NOT(ISNUMBER(E225)),"",IF(E225&lt;Bands!$B$4,"Low",IF(E225&lt;Bands!$B$5,"Medium",IF(E225&lt;Bands!$B$6,"High","Very high"))))</f>
        <v>Low</v>
      </c>
      <c r="G225" s="12" t="str">
        <f>IF(F225="","",IFERROR(INDEX(Bands!$D$3:$D$6,MATCH(F225,Bands!$A$3:$A$6,0)),""))</f>
        <v>Pale yellow to light golden, even colour, no brown spots</v>
      </c>
      <c r="H225" s="12" t="str">
        <f>IF(F225="","",IFERROR(INDEX(Bands!$J$3:$J$6,MATCH(F225,Bands!$A$3:$A$6,0)),""))</f>
        <v>Not deep golden-brown or reddish-brown (those match higher values). Avoid black or burnt chips.</v>
      </c>
      <c r="I225" s="12" t="str">
        <f>IF(F225="","","Ch3_"&amp;TEXT(COUNT($E$2:E225),"000")&amp;"_"&amp;SUBSTITUTE(F225," ","-")&amp;"_"&amp;TEXT(E225,"0")&amp;".jpg")</f>
        <v>Ch3_215_Low_238.jpg</v>
      </c>
    </row>
    <row r="226" spans="1:9" ht="12.75" customHeight="1" x14ac:dyDescent="0.25">
      <c r="C226" s="9"/>
      <c r="D226" s="9"/>
      <c r="E226" s="11"/>
    </row>
    <row r="227" spans="1:9" ht="12.75" customHeight="1" x14ac:dyDescent="0.25">
      <c r="A227" s="2" t="s">
        <v>49</v>
      </c>
      <c r="B227" s="4" t="s">
        <v>10</v>
      </c>
      <c r="C227" s="9">
        <v>1.0086999999999999</v>
      </c>
      <c r="D227" s="9">
        <v>79.721238587166496</v>
      </c>
      <c r="E227" s="11">
        <v>790.33645868113899</v>
      </c>
      <c r="F227" s="12" t="str">
        <f>IF(NOT(ISNUMBER(E227)),"",IF(E227&lt;Bands!$B$4,"Low",IF(E227&lt;Bands!$B$5,"Medium",IF(E227&lt;Bands!$B$6,"High","Very high"))))</f>
        <v>Medium</v>
      </c>
      <c r="G227" s="12" t="str">
        <f>IF(F227="","",IFERROR(INDEX(Bands!$D$3:$D$6,MATCH(F227,Bands!$A$3:$A$6,0)),""))</f>
        <v>Golden yellow with light brown at some edges or small spots</v>
      </c>
      <c r="H227" s="12" t="str">
        <f>IF(F227="","",IFERROR(INDEX(Bands!$J$3:$J$6,MATCH(F227,Bands!$A$3:$A$6,0)),""))</f>
        <v>Not pale yellow (matches a low value) and not deep reddish-brown (matches a high value). Avoid black or burnt chips.</v>
      </c>
      <c r="I227" s="12" t="str">
        <f>IF(F227="","","Ch3_"&amp;TEXT(COUNT($E$2:E227),"000")&amp;"_"&amp;SUBSTITUTE(F227," ","-")&amp;"_"&amp;TEXT(E227,"0")&amp;".jpg")</f>
        <v>Ch3_216_Medium_790.jpg</v>
      </c>
    </row>
    <row r="228" spans="1:9" ht="12.75" customHeight="1" x14ac:dyDescent="0.25">
      <c r="A228" s="2"/>
      <c r="B228" s="4" t="s">
        <v>11</v>
      </c>
      <c r="C228" s="9">
        <v>1.0034000000000001</v>
      </c>
      <c r="D228" s="9">
        <v>55.1518508627695</v>
      </c>
      <c r="E228" s="11">
        <v>549.64969964888905</v>
      </c>
      <c r="F228" s="12" t="str">
        <f>IF(NOT(ISNUMBER(E228)),"",IF(E228&lt;Bands!$B$4,"Low",IF(E228&lt;Bands!$B$5,"Medium",IF(E228&lt;Bands!$B$6,"High","Very high"))))</f>
        <v>Medium</v>
      </c>
      <c r="G228" s="12" t="str">
        <f>IF(F228="","",IFERROR(INDEX(Bands!$D$3:$D$6,MATCH(F228,Bands!$A$3:$A$6,0)),""))</f>
        <v>Golden yellow with light brown at some edges or small spots</v>
      </c>
      <c r="H228" s="12" t="str">
        <f>IF(F228="","",IFERROR(INDEX(Bands!$J$3:$J$6,MATCH(F228,Bands!$A$3:$A$6,0)),""))</f>
        <v>Not pale yellow (matches a low value) and not deep reddish-brown (matches a high value). Avoid black or burnt chips.</v>
      </c>
      <c r="I228" s="12" t="str">
        <f>IF(F228="","","Ch3_"&amp;TEXT(COUNT($E$2:E228),"000")&amp;"_"&amp;SUBSTITUTE(F228," ","-")&amp;"_"&amp;TEXT(E228,"0")&amp;".jpg")</f>
        <v>Ch3_217_Medium_550.jpg</v>
      </c>
    </row>
    <row r="229" spans="1:9" ht="12.75" customHeight="1" x14ac:dyDescent="0.25">
      <c r="A229" s="2"/>
      <c r="B229" s="4" t="s">
        <v>12</v>
      </c>
      <c r="C229" s="9">
        <v>1.01</v>
      </c>
      <c r="D229" s="9">
        <v>101.828026312459</v>
      </c>
      <c r="E229" s="11">
        <v>1008.19828032138</v>
      </c>
      <c r="F229" s="12" t="str">
        <f>IF(NOT(ISNUMBER(E229)),"",IF(E229&lt;Bands!$B$4,"Low",IF(E229&lt;Bands!$B$5,"Medium",IF(E229&lt;Bands!$B$6,"High","Very high"))))</f>
        <v>High</v>
      </c>
      <c r="G229" s="12" t="str">
        <f>IF(F229="","",IFERROR(INDEX(Bands!$D$3:$D$6,MATCH(F229,Bands!$A$3:$A$6,0)),""))</f>
        <v>Golden-brown with a reddish tint, brown edges, somewhat uneven</v>
      </c>
      <c r="H229" s="12" t="str">
        <f>IF(F229="","",IFERROR(INDEX(Bands!$J$3:$J$6,MATCH(F229,Bands!$A$3:$A$6,0)),""))</f>
        <v>Not pale yellow, which would match a low value. Not black or burnt, since very dark chips can have lower acrylamide.</v>
      </c>
      <c r="I229" s="12" t="str">
        <f>IF(F229="","","Ch3_"&amp;TEXT(COUNT($E$2:E229),"000")&amp;"_"&amp;SUBSTITUTE(F229," ","-")&amp;"_"&amp;TEXT(E229,"0")&amp;".jpg")</f>
        <v>Ch3_218_High_1008.jpg</v>
      </c>
    </row>
    <row r="230" spans="1:9" ht="12.75" customHeight="1" x14ac:dyDescent="0.25">
      <c r="A230" s="2"/>
      <c r="B230" s="4" t="s">
        <v>13</v>
      </c>
      <c r="C230" s="9">
        <v>0.998</v>
      </c>
      <c r="D230" s="9">
        <v>63.566140403216501</v>
      </c>
      <c r="E230" s="11">
        <v>636.93527458132803</v>
      </c>
      <c r="F230" s="12" t="str">
        <f>IF(NOT(ISNUMBER(E230)),"",IF(E230&lt;Bands!$B$4,"Low",IF(E230&lt;Bands!$B$5,"Medium",IF(E230&lt;Bands!$B$6,"High","Very high"))))</f>
        <v>Medium</v>
      </c>
      <c r="G230" s="12" t="str">
        <f>IF(F230="","",IFERROR(INDEX(Bands!$D$3:$D$6,MATCH(F230,Bands!$A$3:$A$6,0)),""))</f>
        <v>Golden yellow with light brown at some edges or small spots</v>
      </c>
      <c r="H230" s="12" t="str">
        <f>IF(F230="","",IFERROR(INDEX(Bands!$J$3:$J$6,MATCH(F230,Bands!$A$3:$A$6,0)),""))</f>
        <v>Not pale yellow (matches a low value) and not deep reddish-brown (matches a high value). Avoid black or burnt chips.</v>
      </c>
      <c r="I230" s="12" t="str">
        <f>IF(F230="","","Ch3_"&amp;TEXT(COUNT($E$2:E230),"000")&amp;"_"&amp;SUBSTITUTE(F230," ","-")&amp;"_"&amp;TEXT(E230,"0")&amp;".jpg")</f>
        <v>Ch3_219_Medium_637.jpg</v>
      </c>
    </row>
    <row r="231" spans="1:9" ht="12.75" customHeight="1" x14ac:dyDescent="0.25">
      <c r="A231" s="2"/>
      <c r="B231" s="4" t="s">
        <v>14</v>
      </c>
      <c r="C231" s="9">
        <v>0.99060000000000004</v>
      </c>
      <c r="D231" s="9">
        <v>73.303464903631806</v>
      </c>
      <c r="E231" s="11">
        <v>739.99056030316797</v>
      </c>
      <c r="F231" s="12" t="str">
        <f>IF(NOT(ISNUMBER(E231)),"",IF(E231&lt;Bands!$B$4,"Low",IF(E231&lt;Bands!$B$5,"Medium",IF(E231&lt;Bands!$B$6,"High","Very high"))))</f>
        <v>Medium</v>
      </c>
      <c r="G231" s="12" t="str">
        <f>IF(F231="","",IFERROR(INDEX(Bands!$D$3:$D$6,MATCH(F231,Bands!$A$3:$A$6,0)),""))</f>
        <v>Golden yellow with light brown at some edges or small spots</v>
      </c>
      <c r="H231" s="12" t="str">
        <f>IF(F231="","",IFERROR(INDEX(Bands!$J$3:$J$6,MATCH(F231,Bands!$A$3:$A$6,0)),""))</f>
        <v>Not pale yellow (matches a low value) and not deep reddish-brown (matches a high value). Avoid black or burnt chips.</v>
      </c>
      <c r="I231" s="12" t="str">
        <f>IF(F231="","","Ch3_"&amp;TEXT(COUNT($E$2:E231),"000")&amp;"_"&amp;SUBSTITUTE(F231," ","-")&amp;"_"&amp;TEXT(E231,"0")&amp;".jpg")</f>
        <v>Ch3_220_Medium_740.jpg</v>
      </c>
    </row>
    <row r="232" spans="1:9" ht="12.75" customHeight="1" x14ac:dyDescent="0.25">
      <c r="A232" s="2"/>
      <c r="B232" s="4" t="s">
        <v>15</v>
      </c>
      <c r="C232" s="9">
        <v>1.0261</v>
      </c>
      <c r="D232" s="9">
        <v>71.470354645059203</v>
      </c>
      <c r="E232" s="11">
        <v>696.52426318155403</v>
      </c>
      <c r="F232" s="12" t="str">
        <f>IF(NOT(ISNUMBER(E232)),"",IF(E232&lt;Bands!$B$4,"Low",IF(E232&lt;Bands!$B$5,"Medium",IF(E232&lt;Bands!$B$6,"High","Very high"))))</f>
        <v>Medium</v>
      </c>
      <c r="G232" s="12" t="str">
        <f>IF(F232="","",IFERROR(INDEX(Bands!$D$3:$D$6,MATCH(F232,Bands!$A$3:$A$6,0)),""))</f>
        <v>Golden yellow with light brown at some edges or small spots</v>
      </c>
      <c r="H232" s="12" t="str">
        <f>IF(F232="","",IFERROR(INDEX(Bands!$J$3:$J$6,MATCH(F232,Bands!$A$3:$A$6,0)),""))</f>
        <v>Not pale yellow (matches a low value) and not deep reddish-brown (matches a high value). Avoid black or burnt chips.</v>
      </c>
      <c r="I232" s="12" t="str">
        <f>IF(F232="","","Ch3_"&amp;TEXT(COUNT($E$2:E232),"000")&amp;"_"&amp;SUBSTITUTE(F232," ","-")&amp;"_"&amp;TEXT(E232,"0")&amp;".jpg")</f>
        <v>Ch3_221_Medium_697.jpg</v>
      </c>
    </row>
    <row r="233" spans="1:9" ht="12.75" customHeight="1" x14ac:dyDescent="0.25">
      <c r="A233" s="2"/>
      <c r="B233" s="4" t="s">
        <v>16</v>
      </c>
      <c r="C233" s="9">
        <v>0.99980000000000002</v>
      </c>
      <c r="D233" s="9">
        <v>163.09920316151599</v>
      </c>
      <c r="E233" s="11">
        <v>1631.31829527422</v>
      </c>
      <c r="F233" s="12" t="str">
        <f>IF(NOT(ISNUMBER(E233)),"",IF(E233&lt;Bands!$B$4,"Low",IF(E233&lt;Bands!$B$5,"Medium",IF(E233&lt;Bands!$B$6,"High","Very high"))))</f>
        <v>High</v>
      </c>
      <c r="G233" s="12" t="str">
        <f>IF(F233="","",IFERROR(INDEX(Bands!$D$3:$D$6,MATCH(F233,Bands!$A$3:$A$6,0)),""))</f>
        <v>Golden-brown with a reddish tint, brown edges, somewhat uneven</v>
      </c>
      <c r="H233" s="12" t="str">
        <f>IF(F233="","",IFERROR(INDEX(Bands!$J$3:$J$6,MATCH(F233,Bands!$A$3:$A$6,0)),""))</f>
        <v>Not pale yellow, which would match a low value. Not black or burnt, since very dark chips can have lower acrylamide.</v>
      </c>
      <c r="I233" s="12" t="str">
        <f>IF(F233="","","Ch3_"&amp;TEXT(COUNT($E$2:E233),"000")&amp;"_"&amp;SUBSTITUTE(F233," ","-")&amp;"_"&amp;TEXT(E233,"0")&amp;".jpg")</f>
        <v>Ch3_222_High_1631.jpg</v>
      </c>
    </row>
    <row r="234" spans="1:9" ht="12.75" customHeight="1" x14ac:dyDescent="0.25">
      <c r="A234" s="2"/>
      <c r="B234" s="4" t="s">
        <v>17</v>
      </c>
      <c r="C234" s="9">
        <v>0.99629999999999996</v>
      </c>
      <c r="D234" s="9">
        <v>42.211517612917703</v>
      </c>
      <c r="E234" s="11">
        <v>423.68280249842098</v>
      </c>
      <c r="F234" s="12" t="str">
        <f>IF(NOT(ISNUMBER(E234)),"",IF(E234&lt;Bands!$B$4,"Low",IF(E234&lt;Bands!$B$5,"Medium",IF(E234&lt;Bands!$B$6,"High","Very high"))))</f>
        <v>Low</v>
      </c>
      <c r="G234" s="12" t="str">
        <f>IF(F234="","",IFERROR(INDEX(Bands!$D$3:$D$6,MATCH(F234,Bands!$A$3:$A$6,0)),""))</f>
        <v>Pale yellow to light golden, even colour, no brown spots</v>
      </c>
      <c r="H234" s="12" t="str">
        <f>IF(F234="","",IFERROR(INDEX(Bands!$J$3:$J$6,MATCH(F234,Bands!$A$3:$A$6,0)),""))</f>
        <v>Not deep golden-brown or reddish-brown (those match higher values). Avoid black or burnt chips.</v>
      </c>
      <c r="I234" s="12" t="str">
        <f>IF(F234="","","Ch3_"&amp;TEXT(COUNT($E$2:E234),"000")&amp;"_"&amp;SUBSTITUTE(F234," ","-")&amp;"_"&amp;TEXT(E234,"0")&amp;".jpg")</f>
        <v>Ch3_223_Low_424.jpg</v>
      </c>
    </row>
    <row r="235" spans="1:9" ht="12.75" customHeight="1" x14ac:dyDescent="0.25">
      <c r="A235" s="2"/>
      <c r="B235" s="4" t="s">
        <v>18</v>
      </c>
      <c r="C235" s="9">
        <v>1.0086999999999999</v>
      </c>
      <c r="D235" s="9">
        <v>76.1278105568489</v>
      </c>
      <c r="E235" s="11">
        <v>754.71211020966496</v>
      </c>
      <c r="F235" s="12" t="str">
        <f>IF(NOT(ISNUMBER(E235)),"",IF(E235&lt;Bands!$B$4,"Low",IF(E235&lt;Bands!$B$5,"Medium",IF(E235&lt;Bands!$B$6,"High","Very high"))))</f>
        <v>Medium</v>
      </c>
      <c r="G235" s="12" t="str">
        <f>IF(F235="","",IFERROR(INDEX(Bands!$D$3:$D$6,MATCH(F235,Bands!$A$3:$A$6,0)),""))</f>
        <v>Golden yellow with light brown at some edges or small spots</v>
      </c>
      <c r="H235" s="12" t="str">
        <f>IF(F235="","",IFERROR(INDEX(Bands!$J$3:$J$6,MATCH(F235,Bands!$A$3:$A$6,0)),""))</f>
        <v>Not pale yellow (matches a low value) and not deep reddish-brown (matches a high value). Avoid black or burnt chips.</v>
      </c>
      <c r="I235" s="12" t="str">
        <f>IF(F235="","","Ch3_"&amp;TEXT(COUNT($E$2:E235),"000")&amp;"_"&amp;SUBSTITUTE(F235," ","-")&amp;"_"&amp;TEXT(E235,"0")&amp;".jpg")</f>
        <v>Ch3_224_Medium_755.jpg</v>
      </c>
    </row>
    <row r="236" spans="1:9" ht="12.75" customHeight="1" x14ac:dyDescent="0.25">
      <c r="A236" s="2"/>
      <c r="B236" s="4" t="s">
        <v>19</v>
      </c>
      <c r="C236" s="9">
        <v>1.0105999999999999</v>
      </c>
      <c r="D236" s="9">
        <v>53.969821996113701</v>
      </c>
      <c r="E236" s="11">
        <v>534.03742327442797</v>
      </c>
      <c r="F236" s="12" t="str">
        <f>IF(NOT(ISNUMBER(E236)),"",IF(E236&lt;Bands!$B$4,"Low",IF(E236&lt;Bands!$B$5,"Medium",IF(E236&lt;Bands!$B$6,"High","Very high"))))</f>
        <v>Medium</v>
      </c>
      <c r="G236" s="12" t="str">
        <f>IF(F236="","",IFERROR(INDEX(Bands!$D$3:$D$6,MATCH(F236,Bands!$A$3:$A$6,0)),""))</f>
        <v>Golden yellow with light brown at some edges or small spots</v>
      </c>
      <c r="H236" s="12" t="str">
        <f>IF(F236="","",IFERROR(INDEX(Bands!$J$3:$J$6,MATCH(F236,Bands!$A$3:$A$6,0)),""))</f>
        <v>Not pale yellow (matches a low value) and not deep reddish-brown (matches a high value). Avoid black or burnt chips.</v>
      </c>
      <c r="I236" s="12" t="str">
        <f>IF(F236="","","Ch3_"&amp;TEXT(COUNT($E$2:E236),"000")&amp;"_"&amp;SUBSTITUTE(F236," ","-")&amp;"_"&amp;TEXT(E236,"0")&amp;".jpg")</f>
        <v>Ch3_225_Medium_534.jpg</v>
      </c>
    </row>
    <row r="237" spans="1:9" ht="12.75" customHeight="1" x14ac:dyDescent="0.25">
      <c r="A237" s="2"/>
      <c r="B237" s="4" t="s">
        <v>20</v>
      </c>
      <c r="C237" s="9">
        <v>1.0099</v>
      </c>
      <c r="D237" s="9">
        <v>109.369667960586</v>
      </c>
      <c r="E237" s="11">
        <v>1082.9752248795501</v>
      </c>
      <c r="F237" s="12" t="str">
        <f>IF(NOT(ISNUMBER(E237)),"",IF(E237&lt;Bands!$B$4,"Low",IF(E237&lt;Bands!$B$5,"Medium",IF(E237&lt;Bands!$B$6,"High","Very high"))))</f>
        <v>High</v>
      </c>
      <c r="G237" s="12" t="str">
        <f>IF(F237="","",IFERROR(INDEX(Bands!$D$3:$D$6,MATCH(F237,Bands!$A$3:$A$6,0)),""))</f>
        <v>Golden-brown with a reddish tint, brown edges, somewhat uneven</v>
      </c>
      <c r="H237" s="12" t="str">
        <f>IF(F237="","",IFERROR(INDEX(Bands!$J$3:$J$6,MATCH(F237,Bands!$A$3:$A$6,0)),""))</f>
        <v>Not pale yellow, which would match a low value. Not black or burnt, since very dark chips can have lower acrylamide.</v>
      </c>
      <c r="I237" s="12" t="str">
        <f>IF(F237="","","Ch3_"&amp;TEXT(COUNT($E$2:E237),"000")&amp;"_"&amp;SUBSTITUTE(F237," ","-")&amp;"_"&amp;TEXT(E237,"0")&amp;".jpg")</f>
        <v>Ch3_226_High_1083.jpg</v>
      </c>
    </row>
    <row r="238" spans="1:9" ht="12.75" customHeight="1" x14ac:dyDescent="0.25">
      <c r="A238" s="2"/>
      <c r="B238" s="4" t="s">
        <v>21</v>
      </c>
      <c r="C238" s="9">
        <v>0.99819999999999998</v>
      </c>
      <c r="D238" s="9">
        <v>163.37828871959599</v>
      </c>
      <c r="E238" s="11">
        <v>1636.72899939487</v>
      </c>
      <c r="F238" s="12" t="str">
        <f>IF(NOT(ISNUMBER(E238)),"",IF(E238&lt;Bands!$B$4,"Low",IF(E238&lt;Bands!$B$5,"Medium",IF(E238&lt;Bands!$B$6,"High","Very high"))))</f>
        <v>High</v>
      </c>
      <c r="G238" s="12" t="str">
        <f>IF(F238="","",IFERROR(INDEX(Bands!$D$3:$D$6,MATCH(F238,Bands!$A$3:$A$6,0)),""))</f>
        <v>Golden-brown with a reddish tint, brown edges, somewhat uneven</v>
      </c>
      <c r="H238" s="12" t="str">
        <f>IF(F238="","",IFERROR(INDEX(Bands!$J$3:$J$6,MATCH(F238,Bands!$A$3:$A$6,0)),""))</f>
        <v>Not pale yellow, which would match a low value. Not black or burnt, since very dark chips can have lower acrylamide.</v>
      </c>
      <c r="I238" s="12" t="str">
        <f>IF(F238="","","Ch3_"&amp;TEXT(COUNT($E$2:E238),"000")&amp;"_"&amp;SUBSTITUTE(F238," ","-")&amp;"_"&amp;TEXT(E238,"0")&amp;".jpg")</f>
        <v>Ch3_227_High_1637.jpg</v>
      </c>
    </row>
    <row r="239" spans="1:9" ht="12.75" customHeight="1" x14ac:dyDescent="0.25">
      <c r="C239" s="9"/>
      <c r="D239" s="9"/>
      <c r="E239" s="11"/>
    </row>
    <row r="240" spans="1:9" ht="12.75" customHeight="1" x14ac:dyDescent="0.25">
      <c r="A240" s="2" t="s">
        <v>50</v>
      </c>
      <c r="B240" s="4" t="s">
        <v>10</v>
      </c>
      <c r="C240" s="9">
        <v>1.0082</v>
      </c>
      <c r="D240" s="9">
        <v>425.17551258990397</v>
      </c>
      <c r="E240" s="11">
        <v>4217.1742966663796</v>
      </c>
      <c r="F240" s="12" t="str">
        <f>IF(NOT(ISNUMBER(E240)),"",IF(E240&lt;Bands!$B$4,"Low",IF(E240&lt;Bands!$B$5,"Medium",IF(E240&lt;Bands!$B$6,"High","Very high"))))</f>
        <v>Very high</v>
      </c>
      <c r="G240" s="12" t="str">
        <f>IF(F240="","",IFERROR(INDEX(Bands!$D$3:$D$6,MATCH(F240,Bands!$A$3:$A$6,0)),""))</f>
        <v>Deep golden-brown to medium brown with a reddish tone; edges darkest, centre golden or light brown</v>
      </c>
      <c r="H240" s="12" t="str">
        <f>IF(F240="","",IFERROR(INDEX(Bands!$J$3:$J$6,MATCH(F240,Bands!$A$3:$A$6,0)),""))</f>
        <v>Not pale yellow, which would match a low value, or black and burnt, since very dark chips can have lower acrylamide.</v>
      </c>
      <c r="I240" s="12" t="str">
        <f>IF(F240="","","Ch3_"&amp;TEXT(COUNT($E$2:E240),"000")&amp;"_"&amp;SUBSTITUTE(F240," ","-")&amp;"_"&amp;TEXT(E240,"0")&amp;".jpg")</f>
        <v>Ch3_228_Very-high_4217.jpg</v>
      </c>
    </row>
    <row r="241" spans="1:9" ht="12.75" customHeight="1" x14ac:dyDescent="0.25">
      <c r="A241" s="2"/>
      <c r="B241" s="4" t="s">
        <v>11</v>
      </c>
      <c r="C241" s="9">
        <v>0.99809999999999999</v>
      </c>
      <c r="D241" s="9">
        <v>92.308063062184402</v>
      </c>
      <c r="E241" s="11">
        <v>924.83782248456498</v>
      </c>
      <c r="F241" s="12" t="str">
        <f>IF(NOT(ISNUMBER(E241)),"",IF(E241&lt;Bands!$B$4,"Low",IF(E241&lt;Bands!$B$5,"Medium",IF(E241&lt;Bands!$B$6,"High","Very high"))))</f>
        <v>Medium</v>
      </c>
      <c r="G241" s="12" t="str">
        <f>IF(F241="","",IFERROR(INDEX(Bands!$D$3:$D$6,MATCH(F241,Bands!$A$3:$A$6,0)),""))</f>
        <v>Golden yellow with light brown at some edges or small spots</v>
      </c>
      <c r="H241" s="12" t="str">
        <f>IF(F241="","",IFERROR(INDEX(Bands!$J$3:$J$6,MATCH(F241,Bands!$A$3:$A$6,0)),""))</f>
        <v>Not pale yellow (matches a low value) and not deep reddish-brown (matches a high value). Avoid black or burnt chips.</v>
      </c>
      <c r="I241" s="12" t="str">
        <f>IF(F241="","","Ch3_"&amp;TEXT(COUNT($E$2:E241),"000")&amp;"_"&amp;SUBSTITUTE(F241," ","-")&amp;"_"&amp;TEXT(E241,"0")&amp;".jpg")</f>
        <v>Ch3_229_Medium_925.jpg</v>
      </c>
    </row>
    <row r="242" spans="1:9" ht="12.75" customHeight="1" x14ac:dyDescent="0.25">
      <c r="A242" s="2"/>
      <c r="B242" s="4" t="s">
        <v>12</v>
      </c>
      <c r="C242" s="9">
        <v>1.0123</v>
      </c>
      <c r="D242" s="9">
        <v>100.396890193614</v>
      </c>
      <c r="E242" s="11">
        <v>991.77012934519405</v>
      </c>
      <c r="F242" s="12" t="str">
        <f>IF(NOT(ISNUMBER(E242)),"",IF(E242&lt;Bands!$B$4,"Low",IF(E242&lt;Bands!$B$5,"Medium",IF(E242&lt;Bands!$B$6,"High","Very high"))))</f>
        <v>Medium</v>
      </c>
      <c r="G242" s="12" t="str">
        <f>IF(F242="","",IFERROR(INDEX(Bands!$D$3:$D$6,MATCH(F242,Bands!$A$3:$A$6,0)),""))</f>
        <v>Golden yellow with light brown at some edges or small spots</v>
      </c>
      <c r="H242" s="12" t="str">
        <f>IF(F242="","",IFERROR(INDEX(Bands!$J$3:$J$6,MATCH(F242,Bands!$A$3:$A$6,0)),""))</f>
        <v>Not pale yellow (matches a low value) and not deep reddish-brown (matches a high value). Avoid black or burnt chips.</v>
      </c>
      <c r="I242" s="12" t="str">
        <f>IF(F242="","","Ch3_"&amp;TEXT(COUNT($E$2:E242),"000")&amp;"_"&amp;SUBSTITUTE(F242," ","-")&amp;"_"&amp;TEXT(E242,"0")&amp;".jpg")</f>
        <v>Ch3_230_Medium_992.jpg</v>
      </c>
    </row>
    <row r="243" spans="1:9" ht="12.75" customHeight="1" x14ac:dyDescent="0.25">
      <c r="A243" s="2"/>
      <c r="B243" s="4" t="s">
        <v>13</v>
      </c>
      <c r="C243" s="9">
        <v>0.9879</v>
      </c>
      <c r="D243" s="9">
        <v>82.010163283949794</v>
      </c>
      <c r="E243" s="11">
        <v>830.14640433191403</v>
      </c>
      <c r="F243" s="12" t="str">
        <f>IF(NOT(ISNUMBER(E243)),"",IF(E243&lt;Bands!$B$4,"Low",IF(E243&lt;Bands!$B$5,"Medium",IF(E243&lt;Bands!$B$6,"High","Very high"))))</f>
        <v>Medium</v>
      </c>
      <c r="G243" s="12" t="str">
        <f>IF(F243="","",IFERROR(INDEX(Bands!$D$3:$D$6,MATCH(F243,Bands!$A$3:$A$6,0)),""))</f>
        <v>Golden yellow with light brown at some edges or small spots</v>
      </c>
      <c r="H243" s="12" t="str">
        <f>IF(F243="","",IFERROR(INDEX(Bands!$J$3:$J$6,MATCH(F243,Bands!$A$3:$A$6,0)),""))</f>
        <v>Not pale yellow (matches a low value) and not deep reddish-brown (matches a high value). Avoid black or burnt chips.</v>
      </c>
      <c r="I243" s="12" t="str">
        <f>IF(F243="","","Ch3_"&amp;TEXT(COUNT($E$2:E243),"000")&amp;"_"&amp;SUBSTITUTE(F243," ","-")&amp;"_"&amp;TEXT(E243,"0")&amp;".jpg")</f>
        <v>Ch3_231_Medium_830.jpg</v>
      </c>
    </row>
    <row r="244" spans="1:9" ht="12.75" customHeight="1" x14ac:dyDescent="0.25">
      <c r="A244" s="2"/>
      <c r="B244" s="4" t="s">
        <v>14</v>
      </c>
      <c r="C244" s="9">
        <v>0.98829999999999996</v>
      </c>
      <c r="D244" s="9">
        <v>64.505890055461805</v>
      </c>
      <c r="E244" s="11">
        <v>652.69543716950102</v>
      </c>
      <c r="F244" s="12" t="str">
        <f>IF(NOT(ISNUMBER(E244)),"",IF(E244&lt;Bands!$B$4,"Low",IF(E244&lt;Bands!$B$5,"Medium",IF(E244&lt;Bands!$B$6,"High","Very high"))))</f>
        <v>Medium</v>
      </c>
      <c r="G244" s="12" t="str">
        <f>IF(F244="","",IFERROR(INDEX(Bands!$D$3:$D$6,MATCH(F244,Bands!$A$3:$A$6,0)),""))</f>
        <v>Golden yellow with light brown at some edges or small spots</v>
      </c>
      <c r="H244" s="12" t="str">
        <f>IF(F244="","",IFERROR(INDEX(Bands!$J$3:$J$6,MATCH(F244,Bands!$A$3:$A$6,0)),""))</f>
        <v>Not pale yellow (matches a low value) and not deep reddish-brown (matches a high value). Avoid black or burnt chips.</v>
      </c>
      <c r="I244" s="12" t="str">
        <f>IF(F244="","","Ch3_"&amp;TEXT(COUNT($E$2:E244),"000")&amp;"_"&amp;SUBSTITUTE(F244," ","-")&amp;"_"&amp;TEXT(E244,"0")&amp;".jpg")</f>
        <v>Ch3_232_Medium_653.jpg</v>
      </c>
    </row>
    <row r="245" spans="1:9" ht="12.75" customHeight="1" x14ac:dyDescent="0.25">
      <c r="A245" s="2"/>
      <c r="B245" s="4" t="s">
        <v>15</v>
      </c>
      <c r="C245" s="9">
        <v>1.0025999999999999</v>
      </c>
      <c r="D245" s="9">
        <v>73.368566058584406</v>
      </c>
      <c r="E245" s="11">
        <v>731.78302472156804</v>
      </c>
      <c r="F245" s="12" t="str">
        <f>IF(NOT(ISNUMBER(E245)),"",IF(E245&lt;Bands!$B$4,"Low",IF(E245&lt;Bands!$B$5,"Medium",IF(E245&lt;Bands!$B$6,"High","Very high"))))</f>
        <v>Medium</v>
      </c>
      <c r="G245" s="12" t="str">
        <f>IF(F245="","",IFERROR(INDEX(Bands!$D$3:$D$6,MATCH(F245,Bands!$A$3:$A$6,0)),""))</f>
        <v>Golden yellow with light brown at some edges or small spots</v>
      </c>
      <c r="H245" s="12" t="str">
        <f>IF(F245="","",IFERROR(INDEX(Bands!$J$3:$J$6,MATCH(F245,Bands!$A$3:$A$6,0)),""))</f>
        <v>Not pale yellow (matches a low value) and not deep reddish-brown (matches a high value). Avoid black or burnt chips.</v>
      </c>
      <c r="I245" s="12" t="str">
        <f>IF(F245="","","Ch3_"&amp;TEXT(COUNT($E$2:E245),"000")&amp;"_"&amp;SUBSTITUTE(F245," ","-")&amp;"_"&amp;TEXT(E245,"0")&amp;".jpg")</f>
        <v>Ch3_233_Medium_732.jpg</v>
      </c>
    </row>
    <row r="246" spans="1:9" ht="12.75" customHeight="1" x14ac:dyDescent="0.25">
      <c r="A246" s="2"/>
      <c r="B246" s="4" t="s">
        <v>16</v>
      </c>
      <c r="C246" s="9">
        <v>1.0007999999999999</v>
      </c>
      <c r="D246" s="9">
        <v>144.202405034869</v>
      </c>
      <c r="E246" s="11">
        <v>1440.87135326608</v>
      </c>
      <c r="F246" s="12" t="str">
        <f>IF(NOT(ISNUMBER(E246)),"",IF(E246&lt;Bands!$B$4,"Low",IF(E246&lt;Bands!$B$5,"Medium",IF(E246&lt;Bands!$B$6,"High","Very high"))))</f>
        <v>High</v>
      </c>
      <c r="G246" s="12" t="str">
        <f>IF(F246="","",IFERROR(INDEX(Bands!$D$3:$D$6,MATCH(F246,Bands!$A$3:$A$6,0)),""))</f>
        <v>Golden-brown with a reddish tint, brown edges, somewhat uneven</v>
      </c>
      <c r="H246" s="12" t="str">
        <f>IF(F246="","",IFERROR(INDEX(Bands!$J$3:$J$6,MATCH(F246,Bands!$A$3:$A$6,0)),""))</f>
        <v>Not pale yellow, which would match a low value. Not black or burnt, since very dark chips can have lower acrylamide.</v>
      </c>
      <c r="I246" s="12" t="str">
        <f>IF(F246="","","Ch3_"&amp;TEXT(COUNT($E$2:E246),"000")&amp;"_"&amp;SUBSTITUTE(F246," ","-")&amp;"_"&amp;TEXT(E246,"0")&amp;".jpg")</f>
        <v>Ch3_234_High_1441.jpg</v>
      </c>
    </row>
    <row r="247" spans="1:9" ht="12.75" customHeight="1" x14ac:dyDescent="0.25">
      <c r="A247" s="2"/>
      <c r="B247" s="4" t="s">
        <v>17</v>
      </c>
      <c r="C247" s="9">
        <v>0.99680000000000002</v>
      </c>
      <c r="D247" s="9">
        <v>184.96761000857299</v>
      </c>
      <c r="E247" s="11">
        <v>1855.6140650940299</v>
      </c>
      <c r="F247" s="12" t="str">
        <f>IF(NOT(ISNUMBER(E247)),"",IF(E247&lt;Bands!$B$4,"Low",IF(E247&lt;Bands!$B$5,"Medium",IF(E247&lt;Bands!$B$6,"High","Very high"))))</f>
        <v>High</v>
      </c>
      <c r="G247" s="12" t="str">
        <f>IF(F247="","",IFERROR(INDEX(Bands!$D$3:$D$6,MATCH(F247,Bands!$A$3:$A$6,0)),""))</f>
        <v>Golden-brown with a reddish tint, brown edges, somewhat uneven</v>
      </c>
      <c r="H247" s="12" t="str">
        <f>IF(F247="","",IFERROR(INDEX(Bands!$J$3:$J$6,MATCH(F247,Bands!$A$3:$A$6,0)),""))</f>
        <v>Not pale yellow, which would match a low value. Not black or burnt, since very dark chips can have lower acrylamide.</v>
      </c>
      <c r="I247" s="12" t="str">
        <f>IF(F247="","","Ch3_"&amp;TEXT(COUNT($E$2:E247),"000")&amp;"_"&amp;SUBSTITUTE(F247," ","-")&amp;"_"&amp;TEXT(E247,"0")&amp;".jpg")</f>
        <v>Ch3_235_High_1856.jpg</v>
      </c>
    </row>
    <row r="248" spans="1:9" ht="12.75" customHeight="1" x14ac:dyDescent="0.25">
      <c r="A248" s="2"/>
      <c r="B248" s="4" t="s">
        <v>18</v>
      </c>
      <c r="C248" s="9">
        <v>1.0035000000000001</v>
      </c>
      <c r="D248" s="9">
        <v>153.915883012113</v>
      </c>
      <c r="E248" s="11">
        <v>1533.7905631501101</v>
      </c>
      <c r="F248" s="12" t="str">
        <f>IF(NOT(ISNUMBER(E248)),"",IF(E248&lt;Bands!$B$4,"Low",IF(E248&lt;Bands!$B$5,"Medium",IF(E248&lt;Bands!$B$6,"High","Very high"))))</f>
        <v>High</v>
      </c>
      <c r="G248" s="12" t="str">
        <f>IF(F248="","",IFERROR(INDEX(Bands!$D$3:$D$6,MATCH(F248,Bands!$A$3:$A$6,0)),""))</f>
        <v>Golden-brown with a reddish tint, brown edges, somewhat uneven</v>
      </c>
      <c r="H248" s="12" t="str">
        <f>IF(F248="","",IFERROR(INDEX(Bands!$J$3:$J$6,MATCH(F248,Bands!$A$3:$A$6,0)),""))</f>
        <v>Not pale yellow, which would match a low value. Not black or burnt, since very dark chips can have lower acrylamide.</v>
      </c>
      <c r="I248" s="12" t="str">
        <f>IF(F248="","","Ch3_"&amp;TEXT(COUNT($E$2:E248),"000")&amp;"_"&amp;SUBSTITUTE(F248," ","-")&amp;"_"&amp;TEXT(E248,"0")&amp;".jpg")</f>
        <v>Ch3_236_High_1534.jpg</v>
      </c>
    </row>
    <row r="249" spans="1:9" ht="12.75" customHeight="1" x14ac:dyDescent="0.25">
      <c r="A249" s="2"/>
      <c r="B249" s="4" t="s">
        <v>19</v>
      </c>
      <c r="C249" s="9">
        <v>1.0063</v>
      </c>
      <c r="D249" s="9">
        <v>101.631442989891</v>
      </c>
      <c r="E249" s="11">
        <v>1009.95173397487</v>
      </c>
      <c r="F249" s="12" t="str">
        <f>IF(NOT(ISNUMBER(E249)),"",IF(E249&lt;Bands!$B$4,"Low",IF(E249&lt;Bands!$B$5,"Medium",IF(E249&lt;Bands!$B$6,"High","Very high"))))</f>
        <v>High</v>
      </c>
      <c r="G249" s="12" t="str">
        <f>IF(F249="","",IFERROR(INDEX(Bands!$D$3:$D$6,MATCH(F249,Bands!$A$3:$A$6,0)),""))</f>
        <v>Golden-brown with a reddish tint, brown edges, somewhat uneven</v>
      </c>
      <c r="H249" s="12" t="str">
        <f>IF(F249="","",IFERROR(INDEX(Bands!$J$3:$J$6,MATCH(F249,Bands!$A$3:$A$6,0)),""))</f>
        <v>Not pale yellow, which would match a low value. Not black or burnt, since very dark chips can have lower acrylamide.</v>
      </c>
      <c r="I249" s="12" t="str">
        <f>IF(F249="","","Ch3_"&amp;TEXT(COUNT($E$2:E249),"000")&amp;"_"&amp;SUBSTITUTE(F249," ","-")&amp;"_"&amp;TEXT(E249,"0")&amp;".jpg")</f>
        <v>Ch3_237_High_1010.jpg</v>
      </c>
    </row>
    <row r="250" spans="1:9" ht="12.75" customHeight="1" x14ac:dyDescent="0.25">
      <c r="A250" s="2"/>
      <c r="B250" s="4" t="s">
        <v>20</v>
      </c>
      <c r="C250" s="9">
        <v>1.0057</v>
      </c>
      <c r="D250" s="9">
        <v>168.446647419567</v>
      </c>
      <c r="E250" s="11">
        <v>1674.9194334251499</v>
      </c>
      <c r="F250" s="12" t="str">
        <f>IF(NOT(ISNUMBER(E250)),"",IF(E250&lt;Bands!$B$4,"Low",IF(E250&lt;Bands!$B$5,"Medium",IF(E250&lt;Bands!$B$6,"High","Very high"))))</f>
        <v>High</v>
      </c>
      <c r="G250" s="12" t="str">
        <f>IF(F250="","",IFERROR(INDEX(Bands!$D$3:$D$6,MATCH(F250,Bands!$A$3:$A$6,0)),""))</f>
        <v>Golden-brown with a reddish tint, brown edges, somewhat uneven</v>
      </c>
      <c r="H250" s="12" t="str">
        <f>IF(F250="","",IFERROR(INDEX(Bands!$J$3:$J$6,MATCH(F250,Bands!$A$3:$A$6,0)),""))</f>
        <v>Not pale yellow, which would match a low value. Not black or burnt, since very dark chips can have lower acrylamide.</v>
      </c>
      <c r="I250" s="12" t="str">
        <f>IF(F250="","","Ch3_"&amp;TEXT(COUNT($E$2:E250),"000")&amp;"_"&amp;SUBSTITUTE(F250," ","-")&amp;"_"&amp;TEXT(E250,"0")&amp;".jpg")</f>
        <v>Ch3_238_High_1675.jpg</v>
      </c>
    </row>
    <row r="251" spans="1:9" ht="12.75" customHeight="1" x14ac:dyDescent="0.25">
      <c r="A251" s="2"/>
      <c r="B251" s="4" t="s">
        <v>21</v>
      </c>
      <c r="C251" s="9">
        <v>1.0039</v>
      </c>
      <c r="D251" s="9">
        <v>97.829930785830697</v>
      </c>
      <c r="E251" s="11">
        <v>974.49876268384003</v>
      </c>
      <c r="F251" s="12" t="str">
        <f>IF(NOT(ISNUMBER(E251)),"",IF(E251&lt;Bands!$B$4,"Low",IF(E251&lt;Bands!$B$5,"Medium",IF(E251&lt;Bands!$B$6,"High","Very high"))))</f>
        <v>Medium</v>
      </c>
      <c r="G251" s="12" t="str">
        <f>IF(F251="","",IFERROR(INDEX(Bands!$D$3:$D$6,MATCH(F251,Bands!$A$3:$A$6,0)),""))</f>
        <v>Golden yellow with light brown at some edges or small spots</v>
      </c>
      <c r="H251" s="12" t="str">
        <f>IF(F251="","",IFERROR(INDEX(Bands!$J$3:$J$6,MATCH(F251,Bands!$A$3:$A$6,0)),""))</f>
        <v>Not pale yellow (matches a low value) and not deep reddish-brown (matches a high value). Avoid black or burnt chips.</v>
      </c>
      <c r="I251" s="12" t="str">
        <f>IF(F251="","","Ch3_"&amp;TEXT(COUNT($E$2:E251),"000")&amp;"_"&amp;SUBSTITUTE(F251," ","-")&amp;"_"&amp;TEXT(E251,"0")&amp;".jpg")</f>
        <v>Ch3_239_Medium_974.jpg</v>
      </c>
    </row>
    <row r="252" spans="1:9" ht="12.75" customHeight="1" x14ac:dyDescent="0.25">
      <c r="C252" s="9"/>
    </row>
    <row r="253" spans="1:9" ht="12.75" customHeight="1" x14ac:dyDescent="0.25">
      <c r="A253" s="2" t="s">
        <v>51</v>
      </c>
      <c r="B253" s="4" t="s">
        <v>10</v>
      </c>
      <c r="C253" s="9">
        <v>1.0001</v>
      </c>
      <c r="D253" s="9">
        <v>23.833142731611598</v>
      </c>
      <c r="E253" s="11">
        <v>238.30759655646</v>
      </c>
      <c r="F253" s="12" t="str">
        <f>IF(NOT(ISNUMBER(E253)),"",IF(E253&lt;Bands!$B$4,"Low",IF(E253&lt;Bands!$B$5,"Medium",IF(E253&lt;Bands!$B$6,"High","Very high"))))</f>
        <v>Low</v>
      </c>
      <c r="G253" s="12" t="str">
        <f>IF(F253="","",IFERROR(INDEX(Bands!$D$3:$D$6,MATCH(F253,Bands!$A$3:$A$6,0)),""))</f>
        <v>Pale yellow to light golden, even colour, no brown spots</v>
      </c>
      <c r="H253" s="12" t="str">
        <f>IF(F253="","",IFERROR(INDEX(Bands!$J$3:$J$6,MATCH(F253,Bands!$A$3:$A$6,0)),""))</f>
        <v>Not deep golden-brown or reddish-brown (those match higher values). Avoid black or burnt chips.</v>
      </c>
      <c r="I253" s="12" t="str">
        <f>IF(F253="","","Ch3_"&amp;TEXT(COUNT($E$2:E253),"000")&amp;"_"&amp;SUBSTITUTE(F253," ","-")&amp;"_"&amp;TEXT(E253,"0")&amp;".jpg")</f>
        <v>Ch3_240_Low_238.jpg</v>
      </c>
    </row>
    <row r="254" spans="1:9" ht="12.75" customHeight="1" x14ac:dyDescent="0.25">
      <c r="A254" s="2"/>
      <c r="B254" s="4" t="s">
        <v>11</v>
      </c>
      <c r="C254" s="9">
        <v>1.0001</v>
      </c>
      <c r="D254" s="9">
        <v>23.432033739680801</v>
      </c>
      <c r="E254" s="11">
        <v>234.29690770603699</v>
      </c>
      <c r="F254" s="12" t="str">
        <f>IF(NOT(ISNUMBER(E254)),"",IF(E254&lt;Bands!$B$4,"Low",IF(E254&lt;Bands!$B$5,"Medium",IF(E254&lt;Bands!$B$6,"High","Very high"))))</f>
        <v>Low</v>
      </c>
      <c r="G254" s="12" t="str">
        <f>IF(F254="","",IFERROR(INDEX(Bands!$D$3:$D$6,MATCH(F254,Bands!$A$3:$A$6,0)),""))</f>
        <v>Pale yellow to light golden, even colour, no brown spots</v>
      </c>
      <c r="H254" s="12" t="str">
        <f>IF(F254="","",IFERROR(INDEX(Bands!$J$3:$J$6,MATCH(F254,Bands!$A$3:$A$6,0)),""))</f>
        <v>Not deep golden-brown or reddish-brown (those match higher values). Avoid black or burnt chips.</v>
      </c>
      <c r="I254" s="12" t="str">
        <f>IF(F254="","","Ch3_"&amp;TEXT(COUNT($E$2:E254),"000")&amp;"_"&amp;SUBSTITUTE(F254," ","-")&amp;"_"&amp;TEXT(E254,"0")&amp;".jpg")</f>
        <v>Ch3_241_Low_234.jpg</v>
      </c>
    </row>
    <row r="255" spans="1:9" ht="12.75" customHeight="1" x14ac:dyDescent="0.25">
      <c r="A255" s="2"/>
      <c r="B255" s="4" t="s">
        <v>12</v>
      </c>
      <c r="C255" s="9">
        <v>1.0027999999999999</v>
      </c>
      <c r="D255" s="9">
        <v>22.674946042877298</v>
      </c>
      <c r="E255" s="11">
        <v>226.11633469163601</v>
      </c>
      <c r="F255" s="12" t="str">
        <f>IF(NOT(ISNUMBER(E255)),"",IF(E255&lt;Bands!$B$4,"Low",IF(E255&lt;Bands!$B$5,"Medium",IF(E255&lt;Bands!$B$6,"High","Very high"))))</f>
        <v>Low</v>
      </c>
      <c r="G255" s="12" t="str">
        <f>IF(F255="","",IFERROR(INDEX(Bands!$D$3:$D$6,MATCH(F255,Bands!$A$3:$A$6,0)),""))</f>
        <v>Pale yellow to light golden, even colour, no brown spots</v>
      </c>
      <c r="H255" s="12" t="str">
        <f>IF(F255="","",IFERROR(INDEX(Bands!$J$3:$J$6,MATCH(F255,Bands!$A$3:$A$6,0)),""))</f>
        <v>Not deep golden-brown or reddish-brown (those match higher values). Avoid black or burnt chips.</v>
      </c>
      <c r="I255" s="12" t="str">
        <f>IF(F255="","","Ch3_"&amp;TEXT(COUNT($E$2:E255),"000")&amp;"_"&amp;SUBSTITUTE(F255," ","-")&amp;"_"&amp;TEXT(E255,"0")&amp;".jpg")</f>
        <v>Ch3_242_Low_226.jpg</v>
      </c>
    </row>
    <row r="256" spans="1:9" ht="12.75" customHeight="1" x14ac:dyDescent="0.25">
      <c r="A256" s="2"/>
      <c r="B256" s="4" t="s">
        <v>13</v>
      </c>
      <c r="C256" s="9">
        <v>1.0004</v>
      </c>
      <c r="D256" s="9">
        <v>18.029474050235098</v>
      </c>
      <c r="E256" s="11">
        <v>180.22265144177399</v>
      </c>
      <c r="F256" s="12" t="str">
        <f>IF(NOT(ISNUMBER(E256)),"",IF(E256&lt;Bands!$B$4,"Low",IF(E256&lt;Bands!$B$5,"Medium",IF(E256&lt;Bands!$B$6,"High","Very high"))))</f>
        <v>Low</v>
      </c>
      <c r="G256" s="12" t="str">
        <f>IF(F256="","",IFERROR(INDEX(Bands!$D$3:$D$6,MATCH(F256,Bands!$A$3:$A$6,0)),""))</f>
        <v>Pale yellow to light golden, even colour, no brown spots</v>
      </c>
      <c r="H256" s="12" t="str">
        <f>IF(F256="","",IFERROR(INDEX(Bands!$J$3:$J$6,MATCH(F256,Bands!$A$3:$A$6,0)),""))</f>
        <v>Not deep golden-brown or reddish-brown (those match higher values). Avoid black or burnt chips.</v>
      </c>
      <c r="I256" s="12" t="str">
        <f>IF(F256="","","Ch3_"&amp;TEXT(COUNT($E$2:E256),"000")&amp;"_"&amp;SUBSTITUTE(F256," ","-")&amp;"_"&amp;TEXT(E256,"0")&amp;".jpg")</f>
        <v>Ch3_243_Low_180.jpg</v>
      </c>
    </row>
    <row r="257" spans="1:9" ht="12.75" customHeight="1" x14ac:dyDescent="0.25">
      <c r="A257" s="2"/>
      <c r="B257" s="4" t="s">
        <v>14</v>
      </c>
      <c r="C257" s="9">
        <v>1.0016</v>
      </c>
      <c r="D257" s="9">
        <v>8.3142133425721703</v>
      </c>
      <c r="E257" s="11">
        <v>83.009318516096002</v>
      </c>
      <c r="F257" s="12" t="str">
        <f>IF(NOT(ISNUMBER(E257)),"",IF(E257&lt;Bands!$B$4,"Low",IF(E257&lt;Bands!$B$5,"Medium",IF(E257&lt;Bands!$B$6,"High","Very high"))))</f>
        <v>Low</v>
      </c>
      <c r="G257" s="12" t="str">
        <f>IF(F257="","",IFERROR(INDEX(Bands!$D$3:$D$6,MATCH(F257,Bands!$A$3:$A$6,0)),""))</f>
        <v>Pale yellow to light golden, even colour, no brown spots</v>
      </c>
      <c r="H257" s="12" t="str">
        <f>IF(F257="","",IFERROR(INDEX(Bands!$J$3:$J$6,MATCH(F257,Bands!$A$3:$A$6,0)),""))</f>
        <v>Not deep golden-brown or reddish-brown (those match higher values). Avoid black or burnt chips.</v>
      </c>
      <c r="I257" s="12" t="str">
        <f>IF(F257="","","Ch3_"&amp;TEXT(COUNT($E$2:E257),"000")&amp;"_"&amp;SUBSTITUTE(F257," ","-")&amp;"_"&amp;TEXT(E257,"0")&amp;".jpg")</f>
        <v>Ch3_244_Low_83.jpg</v>
      </c>
    </row>
    <row r="258" spans="1:9" ht="12.75" customHeight="1" x14ac:dyDescent="0.25">
      <c r="A258" s="2"/>
      <c r="B258" s="4" t="s">
        <v>15</v>
      </c>
      <c r="C258" s="9">
        <v>1.0008999999999999</v>
      </c>
      <c r="D258" s="9">
        <v>10.404050762596301</v>
      </c>
      <c r="E258" s="11">
        <v>103.94695536613401</v>
      </c>
      <c r="F258" s="12" t="str">
        <f>IF(NOT(ISNUMBER(E258)),"",IF(E258&lt;Bands!$B$4,"Low",IF(E258&lt;Bands!$B$5,"Medium",IF(E258&lt;Bands!$B$6,"High","Very high"))))</f>
        <v>Low</v>
      </c>
      <c r="G258" s="12" t="str">
        <f>IF(F258="","",IFERROR(INDEX(Bands!$D$3:$D$6,MATCH(F258,Bands!$A$3:$A$6,0)),""))</f>
        <v>Pale yellow to light golden, even colour, no brown spots</v>
      </c>
      <c r="H258" s="12" t="str">
        <f>IF(F258="","",IFERROR(INDEX(Bands!$J$3:$J$6,MATCH(F258,Bands!$A$3:$A$6,0)),""))</f>
        <v>Not deep golden-brown or reddish-brown (those match higher values). Avoid black or burnt chips.</v>
      </c>
      <c r="I258" s="12" t="str">
        <f>IF(F258="","","Ch3_"&amp;TEXT(COUNT($E$2:E258),"000")&amp;"_"&amp;SUBSTITUTE(F258," ","-")&amp;"_"&amp;TEXT(E258,"0")&amp;".jpg")</f>
        <v>Ch3_245_Low_104.jpg</v>
      </c>
    </row>
    <row r="259" spans="1:9" ht="12.75" customHeight="1" x14ac:dyDescent="0.25">
      <c r="A259" s="2"/>
      <c r="B259" s="4" t="s">
        <v>16</v>
      </c>
      <c r="C259" s="9">
        <v>1.0018</v>
      </c>
      <c r="D259" s="9">
        <v>11.4255273361089</v>
      </c>
      <c r="E259" s="11">
        <v>114.04998339098501</v>
      </c>
      <c r="F259" s="12" t="str">
        <f>IF(NOT(ISNUMBER(E259)),"",IF(E259&lt;Bands!$B$4,"Low",IF(E259&lt;Bands!$B$5,"Medium",IF(E259&lt;Bands!$B$6,"High","Very high"))))</f>
        <v>Low</v>
      </c>
      <c r="G259" s="12" t="str">
        <f>IF(F259="","",IFERROR(INDEX(Bands!$D$3:$D$6,MATCH(F259,Bands!$A$3:$A$6,0)),""))</f>
        <v>Pale yellow to light golden, even colour, no brown spots</v>
      </c>
      <c r="H259" s="12" t="str">
        <f>IF(F259="","",IFERROR(INDEX(Bands!$J$3:$J$6,MATCH(F259,Bands!$A$3:$A$6,0)),""))</f>
        <v>Not deep golden-brown or reddish-brown (those match higher values). Avoid black or burnt chips.</v>
      </c>
      <c r="I259" s="12" t="str">
        <f>IF(F259="","","Ch3_"&amp;TEXT(COUNT($E$2:E259),"000")&amp;"_"&amp;SUBSTITUTE(F259," ","-")&amp;"_"&amp;TEXT(E259,"0")&amp;".jpg")</f>
        <v>Ch3_246_Low_114.jpg</v>
      </c>
    </row>
    <row r="260" spans="1:9" ht="12.75" customHeight="1" x14ac:dyDescent="0.25">
      <c r="A260" s="2"/>
      <c r="B260" s="4" t="s">
        <v>17</v>
      </c>
      <c r="C260" s="9">
        <v>1.0011000000000001</v>
      </c>
      <c r="D260" s="9">
        <v>9.6876868611876894</v>
      </c>
      <c r="E260" s="11">
        <v>96.770421148613394</v>
      </c>
      <c r="F260" s="12" t="str">
        <f>IF(NOT(ISNUMBER(E260)),"",IF(E260&lt;Bands!$B$4,"Low",IF(E260&lt;Bands!$B$5,"Medium",IF(E260&lt;Bands!$B$6,"High","Very high"))))</f>
        <v>Low</v>
      </c>
      <c r="G260" s="12" t="str">
        <f>IF(F260="","",IFERROR(INDEX(Bands!$D$3:$D$6,MATCH(F260,Bands!$A$3:$A$6,0)),""))</f>
        <v>Pale yellow to light golden, even colour, no brown spots</v>
      </c>
      <c r="H260" s="12" t="str">
        <f>IF(F260="","",IFERROR(INDEX(Bands!$J$3:$J$6,MATCH(F260,Bands!$A$3:$A$6,0)),""))</f>
        <v>Not deep golden-brown or reddish-brown (those match higher values). Avoid black or burnt chips.</v>
      </c>
      <c r="I260" s="12" t="str">
        <f>IF(F260="","","Ch3_"&amp;TEXT(COUNT($E$2:E260),"000")&amp;"_"&amp;SUBSTITUTE(F260," ","-")&amp;"_"&amp;TEXT(E260,"0")&amp;".jpg")</f>
        <v>Ch3_247_Low_97.jpg</v>
      </c>
    </row>
    <row r="261" spans="1:9" ht="12.75" customHeight="1" x14ac:dyDescent="0.25">
      <c r="A261" s="2"/>
      <c r="B261" s="4" t="s">
        <v>18</v>
      </c>
      <c r="C261" s="9">
        <v>1.0022</v>
      </c>
      <c r="D261" s="9">
        <v>8.8930408358421609</v>
      </c>
      <c r="E261" s="11">
        <v>88.735190938357206</v>
      </c>
      <c r="F261" s="12" t="str">
        <f>IF(NOT(ISNUMBER(E261)),"",IF(E261&lt;Bands!$B$4,"Low",IF(E261&lt;Bands!$B$5,"Medium",IF(E261&lt;Bands!$B$6,"High","Very high"))))</f>
        <v>Low</v>
      </c>
      <c r="G261" s="12" t="str">
        <f>IF(F261="","",IFERROR(INDEX(Bands!$D$3:$D$6,MATCH(F261,Bands!$A$3:$A$6,0)),""))</f>
        <v>Pale yellow to light golden, even colour, no brown spots</v>
      </c>
      <c r="H261" s="12" t="str">
        <f>IF(F261="","",IFERROR(INDEX(Bands!$J$3:$J$6,MATCH(F261,Bands!$A$3:$A$6,0)),""))</f>
        <v>Not deep golden-brown or reddish-brown (those match higher values). Avoid black or burnt chips.</v>
      </c>
      <c r="I261" s="12" t="str">
        <f>IF(F261="","","Ch3_"&amp;TEXT(COUNT($E$2:E261),"000")&amp;"_"&amp;SUBSTITUTE(F261," ","-")&amp;"_"&amp;TEXT(E261,"0")&amp;".jpg")</f>
        <v>Ch3_248_Low_89.jpg</v>
      </c>
    </row>
    <row r="262" spans="1:9" ht="12.75" customHeight="1" x14ac:dyDescent="0.25">
      <c r="A262" s="2"/>
      <c r="B262" s="4" t="s">
        <v>19</v>
      </c>
      <c r="C262" s="9">
        <v>1.0007999999999999</v>
      </c>
      <c r="D262" s="9">
        <v>14.4380504262703</v>
      </c>
      <c r="E262" s="11">
        <v>144.265092188952</v>
      </c>
      <c r="F262" s="12" t="str">
        <f>IF(NOT(ISNUMBER(E262)),"",IF(E262&lt;Bands!$B$4,"Low",IF(E262&lt;Bands!$B$5,"Medium",IF(E262&lt;Bands!$B$6,"High","Very high"))))</f>
        <v>Low</v>
      </c>
      <c r="G262" s="12" t="str">
        <f>IF(F262="","",IFERROR(INDEX(Bands!$D$3:$D$6,MATCH(F262,Bands!$A$3:$A$6,0)),""))</f>
        <v>Pale yellow to light golden, even colour, no brown spots</v>
      </c>
      <c r="H262" s="12" t="str">
        <f>IF(F262="","",IFERROR(INDEX(Bands!$J$3:$J$6,MATCH(F262,Bands!$A$3:$A$6,0)),""))</f>
        <v>Not deep golden-brown or reddish-brown (those match higher values). Avoid black or burnt chips.</v>
      </c>
      <c r="I262" s="12" t="str">
        <f>IF(F262="","","Ch3_"&amp;TEXT(COUNT($E$2:E262),"000")&amp;"_"&amp;SUBSTITUTE(F262," ","-")&amp;"_"&amp;TEXT(E262,"0")&amp;".jpg")</f>
        <v>Ch3_249_Low_144.jpg</v>
      </c>
    </row>
    <row r="263" spans="1:9" ht="12.75" customHeight="1" x14ac:dyDescent="0.25">
      <c r="A263" s="2"/>
      <c r="B263" s="4" t="s">
        <v>20</v>
      </c>
      <c r="C263" s="9">
        <v>1.0013000000000001</v>
      </c>
      <c r="D263" s="9">
        <v>12.3396521041445</v>
      </c>
      <c r="E263" s="11">
        <v>123.23631383346201</v>
      </c>
      <c r="F263" s="12" t="str">
        <f>IF(NOT(ISNUMBER(E263)),"",IF(E263&lt;Bands!$B$4,"Low",IF(E263&lt;Bands!$B$5,"Medium",IF(E263&lt;Bands!$B$6,"High","Very high"))))</f>
        <v>Low</v>
      </c>
      <c r="G263" s="12" t="str">
        <f>IF(F263="","",IFERROR(INDEX(Bands!$D$3:$D$6,MATCH(F263,Bands!$A$3:$A$6,0)),""))</f>
        <v>Pale yellow to light golden, even colour, no brown spots</v>
      </c>
      <c r="H263" s="12" t="str">
        <f>IF(F263="","",IFERROR(INDEX(Bands!$J$3:$J$6,MATCH(F263,Bands!$A$3:$A$6,0)),""))</f>
        <v>Not deep golden-brown or reddish-brown (those match higher values). Avoid black or burnt chips.</v>
      </c>
      <c r="I263" s="12" t="str">
        <f>IF(F263="","","Ch3_"&amp;TEXT(COUNT($E$2:E263),"000")&amp;"_"&amp;SUBSTITUTE(F263," ","-")&amp;"_"&amp;TEXT(E263,"0")&amp;".jpg")</f>
        <v>Ch3_250_Low_123.jpg</v>
      </c>
    </row>
    <row r="264" spans="1:9" ht="12.75" customHeight="1" x14ac:dyDescent="0.25">
      <c r="A264" s="2"/>
      <c r="B264" s="4" t="s">
        <v>21</v>
      </c>
      <c r="C264" s="9">
        <v>1.0009999999999999</v>
      </c>
      <c r="D264" s="9">
        <v>20.548803717337599</v>
      </c>
      <c r="E264" s="11">
        <v>205.28275441895701</v>
      </c>
      <c r="F264" s="12" t="str">
        <f>IF(NOT(ISNUMBER(E264)),"",IF(E264&lt;Bands!$B$4,"Low",IF(E264&lt;Bands!$B$5,"Medium",IF(E264&lt;Bands!$B$6,"High","Very high"))))</f>
        <v>Low</v>
      </c>
      <c r="G264" s="12" t="str">
        <f>IF(F264="","",IFERROR(INDEX(Bands!$D$3:$D$6,MATCH(F264,Bands!$A$3:$A$6,0)),""))</f>
        <v>Pale yellow to light golden, even colour, no brown spots</v>
      </c>
      <c r="H264" s="12" t="str">
        <f>IF(F264="","",IFERROR(INDEX(Bands!$J$3:$J$6,MATCH(F264,Bands!$A$3:$A$6,0)),""))</f>
        <v>Not deep golden-brown or reddish-brown (those match higher values). Avoid black or burnt chips.</v>
      </c>
      <c r="I264" s="12" t="str">
        <f>IF(F264="","","Ch3_"&amp;TEXT(COUNT($E$2:E264),"000")&amp;"_"&amp;SUBSTITUTE(F264," ","-")&amp;"_"&amp;TEXT(E264,"0")&amp;".jpg")</f>
        <v>Ch3_251_Low_205.jpg</v>
      </c>
    </row>
    <row r="265" spans="1:9" ht="12.75" customHeight="1" x14ac:dyDescent="0.25">
      <c r="C265" s="9"/>
      <c r="D265" s="9"/>
      <c r="E265" s="11"/>
    </row>
    <row r="266" spans="1:9" ht="12.75" customHeight="1" x14ac:dyDescent="0.25">
      <c r="A266" s="2" t="s">
        <v>52</v>
      </c>
      <c r="B266" s="4" t="s">
        <v>10</v>
      </c>
      <c r="C266" s="9">
        <v>1.0023</v>
      </c>
      <c r="D266" s="9">
        <v>28.380079203163099</v>
      </c>
      <c r="E266" s="11">
        <v>283.14954807106801</v>
      </c>
      <c r="F266" s="12" t="str">
        <f>IF(NOT(ISNUMBER(E266)),"",IF(E266&lt;Bands!$B$4,"Low",IF(E266&lt;Bands!$B$5,"Medium",IF(E266&lt;Bands!$B$6,"High","Very high"))))</f>
        <v>Low</v>
      </c>
      <c r="G266" s="12" t="str">
        <f>IF(F266="","",IFERROR(INDEX(Bands!$D$3:$D$6,MATCH(F266,Bands!$A$3:$A$6,0)),""))</f>
        <v>Pale yellow to light golden, even colour, no brown spots</v>
      </c>
      <c r="H266" s="12" t="str">
        <f>IF(F266="","",IFERROR(INDEX(Bands!$J$3:$J$6,MATCH(F266,Bands!$A$3:$A$6,0)),""))</f>
        <v>Not deep golden-brown or reddish-brown (those match higher values). Avoid black or burnt chips.</v>
      </c>
      <c r="I266" s="12" t="str">
        <f>IF(F266="","","Ch3_"&amp;TEXT(COUNT($E$2:E266),"000")&amp;"_"&amp;SUBSTITUTE(F266," ","-")&amp;"_"&amp;TEXT(E266,"0")&amp;".jpg")</f>
        <v>Ch3_252_Low_283.jpg</v>
      </c>
    </row>
    <row r="267" spans="1:9" ht="12.75" customHeight="1" x14ac:dyDescent="0.25">
      <c r="A267" s="2"/>
      <c r="B267" s="4" t="s">
        <v>11</v>
      </c>
      <c r="C267" s="9">
        <v>1.0024999999999999</v>
      </c>
      <c r="D267" s="9">
        <v>22.684990314887301</v>
      </c>
      <c r="E267" s="11">
        <v>226.28419266720499</v>
      </c>
      <c r="F267" s="12" t="str">
        <f>IF(NOT(ISNUMBER(E267)),"",IF(E267&lt;Bands!$B$4,"Low",IF(E267&lt;Bands!$B$5,"Medium",IF(E267&lt;Bands!$B$6,"High","Very high"))))</f>
        <v>Low</v>
      </c>
      <c r="G267" s="12" t="str">
        <f>IF(F267="","",IFERROR(INDEX(Bands!$D$3:$D$6,MATCH(F267,Bands!$A$3:$A$6,0)),""))</f>
        <v>Pale yellow to light golden, even colour, no brown spots</v>
      </c>
      <c r="H267" s="12" t="str">
        <f>IF(F267="","",IFERROR(INDEX(Bands!$J$3:$J$6,MATCH(F267,Bands!$A$3:$A$6,0)),""))</f>
        <v>Not deep golden-brown or reddish-brown (those match higher values). Avoid black or burnt chips.</v>
      </c>
      <c r="I267" s="12" t="str">
        <f>IF(F267="","","Ch3_"&amp;TEXT(COUNT($E$2:E267),"000")&amp;"_"&amp;SUBSTITUTE(F267," ","-")&amp;"_"&amp;TEXT(E267,"0")&amp;".jpg")</f>
        <v>Ch3_253_Low_226.jpg</v>
      </c>
    </row>
    <row r="268" spans="1:9" ht="12.75" customHeight="1" x14ac:dyDescent="0.25">
      <c r="A268" s="2"/>
      <c r="B268" s="4" t="s">
        <v>12</v>
      </c>
      <c r="C268" s="9">
        <v>1.0004</v>
      </c>
      <c r="D268" s="9">
        <v>21.7975010991929</v>
      </c>
      <c r="E268" s="11">
        <v>217.88785584958899</v>
      </c>
      <c r="F268" s="12" t="str">
        <f>IF(NOT(ISNUMBER(E268)),"",IF(E268&lt;Bands!$B$4,"Low",IF(E268&lt;Bands!$B$5,"Medium",IF(E268&lt;Bands!$B$6,"High","Very high"))))</f>
        <v>Low</v>
      </c>
      <c r="G268" s="12" t="str">
        <f>IF(F268="","",IFERROR(INDEX(Bands!$D$3:$D$6,MATCH(F268,Bands!$A$3:$A$6,0)),""))</f>
        <v>Pale yellow to light golden, even colour, no brown spots</v>
      </c>
      <c r="H268" s="12" t="str">
        <f>IF(F268="","",IFERROR(INDEX(Bands!$J$3:$J$6,MATCH(F268,Bands!$A$3:$A$6,0)),""))</f>
        <v>Not deep golden-brown or reddish-brown (those match higher values). Avoid black or burnt chips.</v>
      </c>
      <c r="I268" s="12" t="str">
        <f>IF(F268="","","Ch3_"&amp;TEXT(COUNT($E$2:E268),"000")&amp;"_"&amp;SUBSTITUTE(F268," ","-")&amp;"_"&amp;TEXT(E268,"0")&amp;".jpg")</f>
        <v>Ch3_254_Low_218.jpg</v>
      </c>
    </row>
    <row r="269" spans="1:9" ht="12.75" customHeight="1" x14ac:dyDescent="0.25">
      <c r="A269" s="2"/>
      <c r="B269" s="4" t="s">
        <v>13</v>
      </c>
      <c r="C269" s="9">
        <v>1.0013000000000001</v>
      </c>
      <c r="D269" s="9">
        <v>12.124456872019</v>
      </c>
      <c r="E269" s="11">
        <v>121.087155418146</v>
      </c>
      <c r="F269" s="12" t="str">
        <f>IF(NOT(ISNUMBER(E269)),"",IF(E269&lt;Bands!$B$4,"Low",IF(E269&lt;Bands!$B$5,"Medium",IF(E269&lt;Bands!$B$6,"High","Very high"))))</f>
        <v>Low</v>
      </c>
      <c r="G269" s="12" t="str">
        <f>IF(F269="","",IFERROR(INDEX(Bands!$D$3:$D$6,MATCH(F269,Bands!$A$3:$A$6,0)),""))</f>
        <v>Pale yellow to light golden, even colour, no brown spots</v>
      </c>
      <c r="H269" s="12" t="str">
        <f>IF(F269="","",IFERROR(INDEX(Bands!$J$3:$J$6,MATCH(F269,Bands!$A$3:$A$6,0)),""))</f>
        <v>Not deep golden-brown or reddish-brown (those match higher values). Avoid black or burnt chips.</v>
      </c>
      <c r="I269" s="12" t="str">
        <f>IF(F269="","","Ch3_"&amp;TEXT(COUNT($E$2:E269),"000")&amp;"_"&amp;SUBSTITUTE(F269," ","-")&amp;"_"&amp;TEXT(E269,"0")&amp;".jpg")</f>
        <v>Ch3_255_Low_121.jpg</v>
      </c>
    </row>
    <row r="270" spans="1:9" ht="12.75" customHeight="1" x14ac:dyDescent="0.25">
      <c r="A270" s="2"/>
      <c r="B270" s="4" t="s">
        <v>14</v>
      </c>
      <c r="C270" s="9">
        <v>1.0021</v>
      </c>
      <c r="D270" s="9">
        <v>17.889641585946698</v>
      </c>
      <c r="E270" s="11">
        <v>178.521520666068</v>
      </c>
      <c r="F270" s="12" t="str">
        <f>IF(NOT(ISNUMBER(E270)),"",IF(E270&lt;Bands!$B$4,"Low",IF(E270&lt;Bands!$B$5,"Medium",IF(E270&lt;Bands!$B$6,"High","Very high"))))</f>
        <v>Low</v>
      </c>
      <c r="G270" s="12" t="str">
        <f>IF(F270="","",IFERROR(INDEX(Bands!$D$3:$D$6,MATCH(F270,Bands!$A$3:$A$6,0)),""))</f>
        <v>Pale yellow to light golden, even colour, no brown spots</v>
      </c>
      <c r="H270" s="12" t="str">
        <f>IF(F270="","",IFERROR(INDEX(Bands!$J$3:$J$6,MATCH(F270,Bands!$A$3:$A$6,0)),""))</f>
        <v>Not deep golden-brown or reddish-brown (those match higher values). Avoid black or burnt chips.</v>
      </c>
      <c r="I270" s="12" t="str">
        <f>IF(F270="","","Ch3_"&amp;TEXT(COUNT($E$2:E270),"000")&amp;"_"&amp;SUBSTITUTE(F270," ","-")&amp;"_"&amp;TEXT(E270,"0")&amp;".jpg")</f>
        <v>Ch3_256_Low_179.jpg</v>
      </c>
    </row>
    <row r="271" spans="1:9" ht="12.75" customHeight="1" x14ac:dyDescent="0.25">
      <c r="A271" s="2"/>
      <c r="B271" s="4" t="s">
        <v>15</v>
      </c>
      <c r="C271" s="9">
        <v>1.0004999999999999</v>
      </c>
      <c r="D271" s="9">
        <v>26.235174224269599</v>
      </c>
      <c r="E271" s="11">
        <v>262.22063192673301</v>
      </c>
      <c r="F271" s="12" t="str">
        <f>IF(NOT(ISNUMBER(E271)),"",IF(E271&lt;Bands!$B$4,"Low",IF(E271&lt;Bands!$B$5,"Medium",IF(E271&lt;Bands!$B$6,"High","Very high"))))</f>
        <v>Low</v>
      </c>
      <c r="G271" s="12" t="str">
        <f>IF(F271="","",IFERROR(INDEX(Bands!$D$3:$D$6,MATCH(F271,Bands!$A$3:$A$6,0)),""))</f>
        <v>Pale yellow to light golden, even colour, no brown spots</v>
      </c>
      <c r="H271" s="12" t="str">
        <f>IF(F271="","",IFERROR(INDEX(Bands!$J$3:$J$6,MATCH(F271,Bands!$A$3:$A$6,0)),""))</f>
        <v>Not deep golden-brown or reddish-brown (those match higher values). Avoid black or burnt chips.</v>
      </c>
      <c r="I271" s="12" t="str">
        <f>IF(F271="","","Ch3_"&amp;TEXT(COUNT($E$2:E271),"000")&amp;"_"&amp;SUBSTITUTE(F271," ","-")&amp;"_"&amp;TEXT(E271,"0")&amp;".jpg")</f>
        <v>Ch3_257_Low_262.jpg</v>
      </c>
    </row>
    <row r="272" spans="1:9" ht="12.75" customHeight="1" x14ac:dyDescent="0.25">
      <c r="A272" s="2"/>
      <c r="B272" s="4" t="s">
        <v>16</v>
      </c>
      <c r="C272" s="9">
        <v>1.0027999999999999</v>
      </c>
      <c r="D272" s="9">
        <v>35.222622625228702</v>
      </c>
      <c r="E272" s="11">
        <v>351.24274656191398</v>
      </c>
      <c r="F272" s="12" t="str">
        <f>IF(NOT(ISNUMBER(E272)),"",IF(E272&lt;Bands!$B$4,"Low",IF(E272&lt;Bands!$B$5,"Medium",IF(E272&lt;Bands!$B$6,"High","Very high"))))</f>
        <v>Low</v>
      </c>
      <c r="G272" s="12" t="str">
        <f>IF(F272="","",IFERROR(INDEX(Bands!$D$3:$D$6,MATCH(F272,Bands!$A$3:$A$6,0)),""))</f>
        <v>Pale yellow to light golden, even colour, no brown spots</v>
      </c>
      <c r="H272" s="12" t="str">
        <f>IF(F272="","",IFERROR(INDEX(Bands!$J$3:$J$6,MATCH(F272,Bands!$A$3:$A$6,0)),""))</f>
        <v>Not deep golden-brown or reddish-brown (those match higher values). Avoid black or burnt chips.</v>
      </c>
      <c r="I272" s="12" t="str">
        <f>IF(F272="","","Ch3_"&amp;TEXT(COUNT($E$2:E272),"000")&amp;"_"&amp;SUBSTITUTE(F272," ","-")&amp;"_"&amp;TEXT(E272,"0")&amp;".jpg")</f>
        <v>Ch3_258_Low_351.jpg</v>
      </c>
    </row>
    <row r="273" spans="1:9" ht="12.75" customHeight="1" x14ac:dyDescent="0.25">
      <c r="A273" s="2"/>
      <c r="B273" s="4" t="s">
        <v>17</v>
      </c>
      <c r="C273" s="9">
        <v>1.0013000000000001</v>
      </c>
      <c r="D273" s="9">
        <v>53.491776136405697</v>
      </c>
      <c r="E273" s="11">
        <v>534.22327111161201</v>
      </c>
      <c r="F273" s="12" t="str">
        <f>IF(NOT(ISNUMBER(E273)),"",IF(E273&lt;Bands!$B$4,"Low",IF(E273&lt;Bands!$B$5,"Medium",IF(E273&lt;Bands!$B$6,"High","Very high"))))</f>
        <v>Medium</v>
      </c>
      <c r="G273" s="12" t="str">
        <f>IF(F273="","",IFERROR(INDEX(Bands!$D$3:$D$6,MATCH(F273,Bands!$A$3:$A$6,0)),""))</f>
        <v>Golden yellow with light brown at some edges or small spots</v>
      </c>
      <c r="H273" s="12" t="str">
        <f>IF(F273="","",IFERROR(INDEX(Bands!$J$3:$J$6,MATCH(F273,Bands!$A$3:$A$6,0)),""))</f>
        <v>Not pale yellow (matches a low value) and not deep reddish-brown (matches a high value). Avoid black or burnt chips.</v>
      </c>
      <c r="I273" s="12" t="str">
        <f>IF(F273="","","Ch3_"&amp;TEXT(COUNT($E$2:E273),"000")&amp;"_"&amp;SUBSTITUTE(F273," ","-")&amp;"_"&amp;TEXT(E273,"0")&amp;".jpg")</f>
        <v>Ch3_259_Medium_534.jpg</v>
      </c>
    </row>
    <row r="274" spans="1:9" ht="12.75" customHeight="1" x14ac:dyDescent="0.25">
      <c r="A274" s="2"/>
      <c r="B274" s="4" t="s">
        <v>18</v>
      </c>
      <c r="C274" s="9">
        <v>0.99990000000000001</v>
      </c>
      <c r="D274" s="9">
        <v>21.964751018752199</v>
      </c>
      <c r="E274" s="11">
        <v>219.66947713523601</v>
      </c>
      <c r="F274" s="12" t="str">
        <f>IF(NOT(ISNUMBER(E274)),"",IF(E274&lt;Bands!$B$4,"Low",IF(E274&lt;Bands!$B$5,"Medium",IF(E274&lt;Bands!$B$6,"High","Very high"))))</f>
        <v>Low</v>
      </c>
      <c r="G274" s="12" t="str">
        <f>IF(F274="","",IFERROR(INDEX(Bands!$D$3:$D$6,MATCH(F274,Bands!$A$3:$A$6,0)),""))</f>
        <v>Pale yellow to light golden, even colour, no brown spots</v>
      </c>
      <c r="H274" s="12" t="str">
        <f>IF(F274="","",IFERROR(INDEX(Bands!$J$3:$J$6,MATCH(F274,Bands!$A$3:$A$6,0)),""))</f>
        <v>Not deep golden-brown or reddish-brown (those match higher values). Avoid black or burnt chips.</v>
      </c>
      <c r="I274" s="12" t="str">
        <f>IF(F274="","","Ch3_"&amp;TEXT(COUNT($E$2:E274),"000")&amp;"_"&amp;SUBSTITUTE(F274," ","-")&amp;"_"&amp;TEXT(E274,"0")&amp;".jpg")</f>
        <v>Ch3_260_Low_220.jpg</v>
      </c>
    </row>
    <row r="275" spans="1:9" ht="12.75" customHeight="1" x14ac:dyDescent="0.25">
      <c r="A275" s="2"/>
      <c r="B275" s="4" t="s">
        <v>19</v>
      </c>
      <c r="C275" s="9">
        <v>1.002</v>
      </c>
      <c r="D275" s="9">
        <v>22.162213731657499</v>
      </c>
      <c r="E275" s="11">
        <v>221.179777761053</v>
      </c>
      <c r="F275" s="12" t="str">
        <f>IF(NOT(ISNUMBER(E275)),"",IF(E275&lt;Bands!$B$4,"Low",IF(E275&lt;Bands!$B$5,"Medium",IF(E275&lt;Bands!$B$6,"High","Very high"))))</f>
        <v>Low</v>
      </c>
      <c r="G275" s="12" t="str">
        <f>IF(F275="","",IFERROR(INDEX(Bands!$D$3:$D$6,MATCH(F275,Bands!$A$3:$A$6,0)),""))</f>
        <v>Pale yellow to light golden, even colour, no brown spots</v>
      </c>
      <c r="H275" s="12" t="str">
        <f>IF(F275="","",IFERROR(INDEX(Bands!$J$3:$J$6,MATCH(F275,Bands!$A$3:$A$6,0)),""))</f>
        <v>Not deep golden-brown or reddish-brown (those match higher values). Avoid black or burnt chips.</v>
      </c>
      <c r="I275" s="12" t="str">
        <f>IF(F275="","","Ch3_"&amp;TEXT(COUNT($E$2:E275),"000")&amp;"_"&amp;SUBSTITUTE(F275," ","-")&amp;"_"&amp;TEXT(E275,"0")&amp;".jpg")</f>
        <v>Ch3_261_Low_221.jpg</v>
      </c>
    </row>
    <row r="276" spans="1:9" ht="12.75" customHeight="1" x14ac:dyDescent="0.25">
      <c r="A276" s="2"/>
      <c r="B276" s="4" t="s">
        <v>20</v>
      </c>
      <c r="C276" s="9">
        <v>1.002</v>
      </c>
      <c r="D276" s="9">
        <v>45.462967783417298</v>
      </c>
      <c r="E276" s="11">
        <v>453.72223336743798</v>
      </c>
      <c r="F276" s="12" t="str">
        <f>IF(NOT(ISNUMBER(E276)),"",IF(E276&lt;Bands!$B$4,"Low",IF(E276&lt;Bands!$B$5,"Medium",IF(E276&lt;Bands!$B$6,"High","Very high"))))</f>
        <v>Low</v>
      </c>
      <c r="G276" s="12" t="str">
        <f>IF(F276="","",IFERROR(INDEX(Bands!$D$3:$D$6,MATCH(F276,Bands!$A$3:$A$6,0)),""))</f>
        <v>Pale yellow to light golden, even colour, no brown spots</v>
      </c>
      <c r="H276" s="12" t="str">
        <f>IF(F276="","",IFERROR(INDEX(Bands!$J$3:$J$6,MATCH(F276,Bands!$A$3:$A$6,0)),""))</f>
        <v>Not deep golden-brown or reddish-brown (those match higher values). Avoid black or burnt chips.</v>
      </c>
      <c r="I276" s="12" t="str">
        <f>IF(F276="","","Ch3_"&amp;TEXT(COUNT($E$2:E276),"000")&amp;"_"&amp;SUBSTITUTE(F276," ","-")&amp;"_"&amp;TEXT(E276,"0")&amp;".jpg")</f>
        <v>Ch3_262_Low_454.jpg</v>
      </c>
    </row>
    <row r="277" spans="1:9" ht="12.75" customHeight="1" x14ac:dyDescent="0.25">
      <c r="A277" s="2"/>
      <c r="B277" s="4" t="s">
        <v>21</v>
      </c>
      <c r="C277" s="9">
        <v>1.0029999999999999</v>
      </c>
      <c r="D277" s="9">
        <v>22.0190303120939</v>
      </c>
      <c r="E277" s="11">
        <v>219.531707996948</v>
      </c>
      <c r="F277" s="12" t="str">
        <f>IF(NOT(ISNUMBER(E277)),"",IF(E277&lt;Bands!$B$4,"Low",IF(E277&lt;Bands!$B$5,"Medium",IF(E277&lt;Bands!$B$6,"High","Very high"))))</f>
        <v>Low</v>
      </c>
      <c r="G277" s="12" t="str">
        <f>IF(F277="","",IFERROR(INDEX(Bands!$D$3:$D$6,MATCH(F277,Bands!$A$3:$A$6,0)),""))</f>
        <v>Pale yellow to light golden, even colour, no brown spots</v>
      </c>
      <c r="H277" s="12" t="str">
        <f>IF(F277="","",IFERROR(INDEX(Bands!$J$3:$J$6,MATCH(F277,Bands!$A$3:$A$6,0)),""))</f>
        <v>Not deep golden-brown or reddish-brown (those match higher values). Avoid black or burnt chips.</v>
      </c>
      <c r="I277" s="12" t="str">
        <f>IF(F277="","","Ch3_"&amp;TEXT(COUNT($E$2:E277),"000")&amp;"_"&amp;SUBSTITUTE(F277," ","-")&amp;"_"&amp;TEXT(E277,"0")&amp;".jpg")</f>
        <v>Ch3_263_Low_220.jpg</v>
      </c>
    </row>
    <row r="278" spans="1:9" ht="12.75" customHeight="1" x14ac:dyDescent="0.25">
      <c r="C278" s="9"/>
      <c r="D278" s="9"/>
      <c r="E278" s="11"/>
    </row>
    <row r="279" spans="1:9" ht="12.75" customHeight="1" x14ac:dyDescent="0.25">
      <c r="A279" s="2" t="s">
        <v>53</v>
      </c>
      <c r="B279" s="4" t="s">
        <v>10</v>
      </c>
      <c r="C279" s="9">
        <v>1</v>
      </c>
      <c r="D279" s="9">
        <v>25.043825485168099</v>
      </c>
      <c r="E279" s="11">
        <v>250.43825485168099</v>
      </c>
      <c r="F279" s="12" t="str">
        <f>IF(NOT(ISNUMBER(E279)),"",IF(E279&lt;Bands!$B$4,"Low",IF(E279&lt;Bands!$B$5,"Medium",IF(E279&lt;Bands!$B$6,"High","Very high"))))</f>
        <v>Low</v>
      </c>
      <c r="G279" s="12" t="str">
        <f>IF(F279="","",IFERROR(INDEX(Bands!$D$3:$D$6,MATCH(F279,Bands!$A$3:$A$6,0)),""))</f>
        <v>Pale yellow to light golden, even colour, no brown spots</v>
      </c>
      <c r="H279" s="12" t="str">
        <f>IF(F279="","",IFERROR(INDEX(Bands!$J$3:$J$6,MATCH(F279,Bands!$A$3:$A$6,0)),""))</f>
        <v>Not deep golden-brown or reddish-brown (those match higher values). Avoid black or burnt chips.</v>
      </c>
      <c r="I279" s="12" t="str">
        <f>IF(F279="","","Ch3_"&amp;TEXT(COUNT($E$2:E279),"000")&amp;"_"&amp;SUBSTITUTE(F279," ","-")&amp;"_"&amp;TEXT(E279,"0")&amp;".jpg")</f>
        <v>Ch3_264_Low_250.jpg</v>
      </c>
    </row>
    <row r="280" spans="1:9" ht="12.75" customHeight="1" x14ac:dyDescent="0.25">
      <c r="A280" s="2"/>
      <c r="B280" s="4" t="s">
        <v>11</v>
      </c>
      <c r="C280" s="9">
        <v>1.0016</v>
      </c>
      <c r="D280" s="9">
        <v>21.1209990774788</v>
      </c>
      <c r="E280" s="11">
        <v>210.872594623391</v>
      </c>
      <c r="F280" s="12" t="str">
        <f>IF(NOT(ISNUMBER(E280)),"",IF(E280&lt;Bands!$B$4,"Low",IF(E280&lt;Bands!$B$5,"Medium",IF(E280&lt;Bands!$B$6,"High","Very high"))))</f>
        <v>Low</v>
      </c>
      <c r="G280" s="12" t="str">
        <f>IF(F280="","",IFERROR(INDEX(Bands!$D$3:$D$6,MATCH(F280,Bands!$A$3:$A$6,0)),""))</f>
        <v>Pale yellow to light golden, even colour, no brown spots</v>
      </c>
      <c r="H280" s="12" t="str">
        <f>IF(F280="","",IFERROR(INDEX(Bands!$J$3:$J$6,MATCH(F280,Bands!$A$3:$A$6,0)),""))</f>
        <v>Not deep golden-brown or reddish-brown (those match higher values). Avoid black or burnt chips.</v>
      </c>
      <c r="I280" s="12" t="str">
        <f>IF(F280="","","Ch3_"&amp;TEXT(COUNT($E$2:E280),"000")&amp;"_"&amp;SUBSTITUTE(F280," ","-")&amp;"_"&amp;TEXT(E280,"0")&amp;".jpg")</f>
        <v>Ch3_265_Low_211.jpg</v>
      </c>
    </row>
    <row r="281" spans="1:9" ht="12.75" customHeight="1" x14ac:dyDescent="0.25">
      <c r="A281" s="2"/>
      <c r="B281" s="4" t="s">
        <v>12</v>
      </c>
      <c r="C281" s="9">
        <v>1.002</v>
      </c>
      <c r="D281" s="9">
        <v>12.5983916458785</v>
      </c>
      <c r="E281" s="11">
        <v>125.732451555674</v>
      </c>
      <c r="F281" s="12" t="str">
        <f>IF(NOT(ISNUMBER(E281)),"",IF(E281&lt;Bands!$B$4,"Low",IF(E281&lt;Bands!$B$5,"Medium",IF(E281&lt;Bands!$B$6,"High","Very high"))))</f>
        <v>Low</v>
      </c>
      <c r="G281" s="12" t="str">
        <f>IF(F281="","",IFERROR(INDEX(Bands!$D$3:$D$6,MATCH(F281,Bands!$A$3:$A$6,0)),""))</f>
        <v>Pale yellow to light golden, even colour, no brown spots</v>
      </c>
      <c r="H281" s="12" t="str">
        <f>IF(F281="","",IFERROR(INDEX(Bands!$J$3:$J$6,MATCH(F281,Bands!$A$3:$A$6,0)),""))</f>
        <v>Not deep golden-brown or reddish-brown (those match higher values). Avoid black or burnt chips.</v>
      </c>
      <c r="I281" s="12" t="str">
        <f>IF(F281="","","Ch3_"&amp;TEXT(COUNT($E$2:E281),"000")&amp;"_"&amp;SUBSTITUTE(F281," ","-")&amp;"_"&amp;TEXT(E281,"0")&amp;".jpg")</f>
        <v>Ch3_266_Low_126.jpg</v>
      </c>
    </row>
    <row r="282" spans="1:9" ht="12.75" customHeight="1" x14ac:dyDescent="0.25">
      <c r="A282" s="2"/>
      <c r="B282" s="4" t="s">
        <v>13</v>
      </c>
      <c r="C282" s="9">
        <v>1.002</v>
      </c>
      <c r="D282" s="9">
        <v>10.538405779421799</v>
      </c>
      <c r="E282" s="11">
        <v>105.173710373471</v>
      </c>
      <c r="F282" s="12" t="str">
        <f>IF(NOT(ISNUMBER(E282)),"",IF(E282&lt;Bands!$B$4,"Low",IF(E282&lt;Bands!$B$5,"Medium",IF(E282&lt;Bands!$B$6,"High","Very high"))))</f>
        <v>Low</v>
      </c>
      <c r="G282" s="12" t="str">
        <f>IF(F282="","",IFERROR(INDEX(Bands!$D$3:$D$6,MATCH(F282,Bands!$A$3:$A$6,0)),""))</f>
        <v>Pale yellow to light golden, even colour, no brown spots</v>
      </c>
      <c r="H282" s="12" t="str">
        <f>IF(F282="","",IFERROR(INDEX(Bands!$J$3:$J$6,MATCH(F282,Bands!$A$3:$A$6,0)),""))</f>
        <v>Not deep golden-brown or reddish-brown (those match higher values). Avoid black or burnt chips.</v>
      </c>
      <c r="I282" s="12" t="str">
        <f>IF(F282="","","Ch3_"&amp;TEXT(COUNT($E$2:E282),"000")&amp;"_"&amp;SUBSTITUTE(F282," ","-")&amp;"_"&amp;TEXT(E282,"0")&amp;".jpg")</f>
        <v>Ch3_267_Low_105.jpg</v>
      </c>
    </row>
    <row r="283" spans="1:9" ht="12.75" customHeight="1" x14ac:dyDescent="0.25">
      <c r="A283" s="2"/>
      <c r="B283" s="4" t="s">
        <v>14</v>
      </c>
      <c r="C283" s="9">
        <v>0.99990000000000001</v>
      </c>
      <c r="D283" s="9">
        <v>25.527019390100001</v>
      </c>
      <c r="E283" s="11">
        <v>255.29572347334701</v>
      </c>
      <c r="F283" s="12" t="str">
        <f>IF(NOT(ISNUMBER(E283)),"",IF(E283&lt;Bands!$B$4,"Low",IF(E283&lt;Bands!$B$5,"Medium",IF(E283&lt;Bands!$B$6,"High","Very high"))))</f>
        <v>Low</v>
      </c>
      <c r="G283" s="12" t="str">
        <f>IF(F283="","",IFERROR(INDEX(Bands!$D$3:$D$6,MATCH(F283,Bands!$A$3:$A$6,0)),""))</f>
        <v>Pale yellow to light golden, even colour, no brown spots</v>
      </c>
      <c r="H283" s="12" t="str">
        <f>IF(F283="","",IFERROR(INDEX(Bands!$J$3:$J$6,MATCH(F283,Bands!$A$3:$A$6,0)),""))</f>
        <v>Not deep golden-brown or reddish-brown (those match higher values). Avoid black or burnt chips.</v>
      </c>
      <c r="I283" s="12" t="str">
        <f>IF(F283="","","Ch3_"&amp;TEXT(COUNT($E$2:E283),"000")&amp;"_"&amp;SUBSTITUTE(F283," ","-")&amp;"_"&amp;TEXT(E283,"0")&amp;".jpg")</f>
        <v>Ch3_268_Low_255.jpg</v>
      </c>
    </row>
    <row r="284" spans="1:9" ht="12.75" customHeight="1" x14ac:dyDescent="0.25">
      <c r="A284" s="2"/>
      <c r="B284" s="4" t="s">
        <v>15</v>
      </c>
      <c r="C284" s="9">
        <v>1.0002</v>
      </c>
      <c r="D284" s="9">
        <v>17.2663696441134</v>
      </c>
      <c r="E284" s="11">
        <v>172.62917060701301</v>
      </c>
      <c r="F284" s="12" t="str">
        <f>IF(NOT(ISNUMBER(E284)),"",IF(E284&lt;Bands!$B$4,"Low",IF(E284&lt;Bands!$B$5,"Medium",IF(E284&lt;Bands!$B$6,"High","Very high"))))</f>
        <v>Low</v>
      </c>
      <c r="G284" s="12" t="str">
        <f>IF(F284="","",IFERROR(INDEX(Bands!$D$3:$D$6,MATCH(F284,Bands!$A$3:$A$6,0)),""))</f>
        <v>Pale yellow to light golden, even colour, no brown spots</v>
      </c>
      <c r="H284" s="12" t="str">
        <f>IF(F284="","",IFERROR(INDEX(Bands!$J$3:$J$6,MATCH(F284,Bands!$A$3:$A$6,0)),""))</f>
        <v>Not deep golden-brown or reddish-brown (those match higher values). Avoid black or burnt chips.</v>
      </c>
      <c r="I284" s="12" t="str">
        <f>IF(F284="","","Ch3_"&amp;TEXT(COUNT($E$2:E284),"000")&amp;"_"&amp;SUBSTITUTE(F284," ","-")&amp;"_"&amp;TEXT(E284,"0")&amp;".jpg")</f>
        <v>Ch3_269_Low_173.jpg</v>
      </c>
    </row>
    <row r="285" spans="1:9" ht="12.75" customHeight="1" x14ac:dyDescent="0.25">
      <c r="A285" s="2"/>
      <c r="B285" s="4" t="s">
        <v>16</v>
      </c>
      <c r="C285" s="9">
        <v>1.0019</v>
      </c>
      <c r="D285" s="9">
        <v>19.384149090998399</v>
      </c>
      <c r="E285" s="11">
        <v>193.47389051799999</v>
      </c>
      <c r="F285" s="12" t="str">
        <f>IF(NOT(ISNUMBER(E285)),"",IF(E285&lt;Bands!$B$4,"Low",IF(E285&lt;Bands!$B$5,"Medium",IF(E285&lt;Bands!$B$6,"High","Very high"))))</f>
        <v>Low</v>
      </c>
      <c r="G285" s="12" t="str">
        <f>IF(F285="","",IFERROR(INDEX(Bands!$D$3:$D$6,MATCH(F285,Bands!$A$3:$A$6,0)),""))</f>
        <v>Pale yellow to light golden, even colour, no brown spots</v>
      </c>
      <c r="H285" s="12" t="str">
        <f>IF(F285="","",IFERROR(INDEX(Bands!$J$3:$J$6,MATCH(F285,Bands!$A$3:$A$6,0)),""))</f>
        <v>Not deep golden-brown or reddish-brown (those match higher values). Avoid black or burnt chips.</v>
      </c>
      <c r="I285" s="12" t="str">
        <f>IF(F285="","","Ch3_"&amp;TEXT(COUNT($E$2:E285),"000")&amp;"_"&amp;SUBSTITUTE(F285," ","-")&amp;"_"&amp;TEXT(E285,"0")&amp;".jpg")</f>
        <v>Ch3_270_Low_193.jpg</v>
      </c>
    </row>
    <row r="286" spans="1:9" ht="12.75" customHeight="1" x14ac:dyDescent="0.25">
      <c r="A286" s="2"/>
      <c r="B286" s="4" t="s">
        <v>17</v>
      </c>
      <c r="C286" s="9">
        <v>1.0007999999999999</v>
      </c>
      <c r="D286" s="9">
        <v>10.9536406825841</v>
      </c>
      <c r="E286" s="11">
        <v>109.448847747643</v>
      </c>
      <c r="F286" s="12" t="str">
        <f>IF(NOT(ISNUMBER(E286)),"",IF(E286&lt;Bands!$B$4,"Low",IF(E286&lt;Bands!$B$5,"Medium",IF(E286&lt;Bands!$B$6,"High","Very high"))))</f>
        <v>Low</v>
      </c>
      <c r="G286" s="12" t="str">
        <f>IF(F286="","",IFERROR(INDEX(Bands!$D$3:$D$6,MATCH(F286,Bands!$A$3:$A$6,0)),""))</f>
        <v>Pale yellow to light golden, even colour, no brown spots</v>
      </c>
      <c r="H286" s="12" t="str">
        <f>IF(F286="","",IFERROR(INDEX(Bands!$J$3:$J$6,MATCH(F286,Bands!$A$3:$A$6,0)),""))</f>
        <v>Not deep golden-brown or reddish-brown (those match higher values). Avoid black or burnt chips.</v>
      </c>
      <c r="I286" s="12" t="str">
        <f>IF(F286="","","Ch3_"&amp;TEXT(COUNT($E$2:E286),"000")&amp;"_"&amp;SUBSTITUTE(F286," ","-")&amp;"_"&amp;TEXT(E286,"0")&amp;".jpg")</f>
        <v>Ch3_271_Low_109.jpg</v>
      </c>
    </row>
    <row r="287" spans="1:9" ht="12.75" customHeight="1" x14ac:dyDescent="0.25">
      <c r="A287" s="2"/>
      <c r="B287" s="4" t="s">
        <v>18</v>
      </c>
      <c r="C287" s="9">
        <v>1.002</v>
      </c>
      <c r="D287" s="9">
        <v>36.3623402421387</v>
      </c>
      <c r="E287" s="11">
        <v>362.89760720697302</v>
      </c>
      <c r="F287" s="12" t="str">
        <f>IF(NOT(ISNUMBER(E287)),"",IF(E287&lt;Bands!$B$4,"Low",IF(E287&lt;Bands!$B$5,"Medium",IF(E287&lt;Bands!$B$6,"High","Very high"))))</f>
        <v>Low</v>
      </c>
      <c r="G287" s="12" t="str">
        <f>IF(F287="","",IFERROR(INDEX(Bands!$D$3:$D$6,MATCH(F287,Bands!$A$3:$A$6,0)),""))</f>
        <v>Pale yellow to light golden, even colour, no brown spots</v>
      </c>
      <c r="H287" s="12" t="str">
        <f>IF(F287="","",IFERROR(INDEX(Bands!$J$3:$J$6,MATCH(F287,Bands!$A$3:$A$6,0)),""))</f>
        <v>Not deep golden-brown or reddish-brown (those match higher values). Avoid black or burnt chips.</v>
      </c>
      <c r="I287" s="12" t="str">
        <f>IF(F287="","","Ch3_"&amp;TEXT(COUNT($E$2:E287),"000")&amp;"_"&amp;SUBSTITUTE(F287," ","-")&amp;"_"&amp;TEXT(E287,"0")&amp;".jpg")</f>
        <v>Ch3_272_Low_363.jpg</v>
      </c>
    </row>
    <row r="288" spans="1:9" ht="12.75" customHeight="1" x14ac:dyDescent="0.25">
      <c r="A288" s="2"/>
      <c r="B288" s="4" t="s">
        <v>19</v>
      </c>
      <c r="C288" s="9">
        <v>1.0012000000000001</v>
      </c>
      <c r="D288" s="9">
        <v>15.9757628226874</v>
      </c>
      <c r="E288" s="11">
        <v>159.56614884825601</v>
      </c>
      <c r="F288" s="12" t="str">
        <f>IF(NOT(ISNUMBER(E288)),"",IF(E288&lt;Bands!$B$4,"Low",IF(E288&lt;Bands!$B$5,"Medium",IF(E288&lt;Bands!$B$6,"High","Very high"))))</f>
        <v>Low</v>
      </c>
      <c r="G288" s="12" t="str">
        <f>IF(F288="","",IFERROR(INDEX(Bands!$D$3:$D$6,MATCH(F288,Bands!$A$3:$A$6,0)),""))</f>
        <v>Pale yellow to light golden, even colour, no brown spots</v>
      </c>
      <c r="H288" s="12" t="str">
        <f>IF(F288="","",IFERROR(INDEX(Bands!$J$3:$J$6,MATCH(F288,Bands!$A$3:$A$6,0)),""))</f>
        <v>Not deep golden-brown or reddish-brown (those match higher values). Avoid black or burnt chips.</v>
      </c>
      <c r="I288" s="12" t="str">
        <f>IF(F288="","","Ch3_"&amp;TEXT(COUNT($E$2:E288),"000")&amp;"_"&amp;SUBSTITUTE(F288," ","-")&amp;"_"&amp;TEXT(E288,"0")&amp;".jpg")</f>
        <v>Ch3_273_Low_160.jpg</v>
      </c>
    </row>
    <row r="289" spans="1:9" ht="12.75" customHeight="1" x14ac:dyDescent="0.25">
      <c r="A289" s="2"/>
      <c r="B289" s="4" t="s">
        <v>20</v>
      </c>
      <c r="C289" s="9">
        <v>0.99990000000000001</v>
      </c>
      <c r="D289" s="9">
        <v>31.542177419133601</v>
      </c>
      <c r="E289" s="11">
        <v>315.45331952328797</v>
      </c>
      <c r="F289" s="12" t="str">
        <f>IF(NOT(ISNUMBER(E289)),"",IF(E289&lt;Bands!$B$4,"Low",IF(E289&lt;Bands!$B$5,"Medium",IF(E289&lt;Bands!$B$6,"High","Very high"))))</f>
        <v>Low</v>
      </c>
      <c r="G289" s="12" t="str">
        <f>IF(F289="","",IFERROR(INDEX(Bands!$D$3:$D$6,MATCH(F289,Bands!$A$3:$A$6,0)),""))</f>
        <v>Pale yellow to light golden, even colour, no brown spots</v>
      </c>
      <c r="H289" s="12" t="str">
        <f>IF(F289="","",IFERROR(INDEX(Bands!$J$3:$J$6,MATCH(F289,Bands!$A$3:$A$6,0)),""))</f>
        <v>Not deep golden-brown or reddish-brown (those match higher values). Avoid black or burnt chips.</v>
      </c>
      <c r="I289" s="12" t="str">
        <f>IF(F289="","","Ch3_"&amp;TEXT(COUNT($E$2:E289),"000")&amp;"_"&amp;SUBSTITUTE(F289," ","-")&amp;"_"&amp;TEXT(E289,"0")&amp;".jpg")</f>
        <v>Ch3_274_Low_315.jpg</v>
      </c>
    </row>
    <row r="290" spans="1:9" ht="12.75" customHeight="1" x14ac:dyDescent="0.25">
      <c r="A290" s="2"/>
      <c r="B290" s="4" t="s">
        <v>21</v>
      </c>
      <c r="C290" s="9">
        <v>1.0022</v>
      </c>
      <c r="D290" s="9">
        <v>18.061538729660899</v>
      </c>
      <c r="E290" s="11">
        <v>180.21890570406001</v>
      </c>
      <c r="F290" s="12" t="str">
        <f>IF(NOT(ISNUMBER(E290)),"",IF(E290&lt;Bands!$B$4,"Low",IF(E290&lt;Bands!$B$5,"Medium",IF(E290&lt;Bands!$B$6,"High","Very high"))))</f>
        <v>Low</v>
      </c>
      <c r="G290" s="12" t="str">
        <f>IF(F290="","",IFERROR(INDEX(Bands!$D$3:$D$6,MATCH(F290,Bands!$A$3:$A$6,0)),""))</f>
        <v>Pale yellow to light golden, even colour, no brown spots</v>
      </c>
      <c r="H290" s="12" t="str">
        <f>IF(F290="","",IFERROR(INDEX(Bands!$J$3:$J$6,MATCH(F290,Bands!$A$3:$A$6,0)),""))</f>
        <v>Not deep golden-brown or reddish-brown (those match higher values). Avoid black or burnt chips.</v>
      </c>
      <c r="I290" s="12" t="str">
        <f>IF(F290="","","Ch3_"&amp;TEXT(COUNT($E$2:E290),"000")&amp;"_"&amp;SUBSTITUTE(F290," ","-")&amp;"_"&amp;TEXT(E290,"0")&amp;".jpg")</f>
        <v>Ch3_275_Low_180.jpg</v>
      </c>
    </row>
    <row r="291" spans="1:9" ht="12.75" customHeight="1" x14ac:dyDescent="0.25">
      <c r="C291" s="9"/>
      <c r="D291" s="9"/>
      <c r="E291" s="11"/>
    </row>
    <row r="292" spans="1:9" ht="12.75" customHeight="1" x14ac:dyDescent="0.25">
      <c r="A292" s="2" t="s">
        <v>54</v>
      </c>
      <c r="B292" s="4" t="s">
        <v>10</v>
      </c>
      <c r="C292" s="9">
        <v>1.0014000000000001</v>
      </c>
      <c r="D292" s="9">
        <v>68.574833237966899</v>
      </c>
      <c r="E292" s="11">
        <v>684.78962690200603</v>
      </c>
      <c r="F292" s="12" t="str">
        <f>IF(NOT(ISNUMBER(E292)),"",IF(E292&lt;Bands!$B$4,"Low",IF(E292&lt;Bands!$B$5,"Medium",IF(E292&lt;Bands!$B$6,"High","Very high"))))</f>
        <v>Medium</v>
      </c>
      <c r="G292" s="12" t="str">
        <f>IF(F292="","",IFERROR(INDEX(Bands!$D$3:$D$6,MATCH(F292,Bands!$A$3:$A$6,0)),""))</f>
        <v>Golden yellow with light brown at some edges or small spots</v>
      </c>
      <c r="H292" s="12" t="str">
        <f>IF(F292="","",IFERROR(INDEX(Bands!$J$3:$J$6,MATCH(F292,Bands!$A$3:$A$6,0)),""))</f>
        <v>Not pale yellow (matches a low value) and not deep reddish-brown (matches a high value). Avoid black or burnt chips.</v>
      </c>
      <c r="I292" s="12" t="str">
        <f>IF(F292="","","Ch3_"&amp;TEXT(COUNT($E$2:E292),"000")&amp;"_"&amp;SUBSTITUTE(F292," ","-")&amp;"_"&amp;TEXT(E292,"0")&amp;".jpg")</f>
        <v>Ch3_276_Medium_685.jpg</v>
      </c>
    </row>
    <row r="293" spans="1:9" ht="12.75" customHeight="1" x14ac:dyDescent="0.25">
      <c r="A293" s="2"/>
      <c r="B293" s="4" t="s">
        <v>11</v>
      </c>
      <c r="C293" s="9">
        <v>1.0001</v>
      </c>
      <c r="D293" s="9">
        <v>111.61681061302799</v>
      </c>
      <c r="E293" s="11">
        <v>1116.0565004802299</v>
      </c>
      <c r="F293" s="12" t="str">
        <f>IF(NOT(ISNUMBER(E293)),"",IF(E293&lt;Bands!$B$4,"Low",IF(E293&lt;Bands!$B$5,"Medium",IF(E293&lt;Bands!$B$6,"High","Very high"))))</f>
        <v>High</v>
      </c>
      <c r="G293" s="12" t="str">
        <f>IF(F293="","",IFERROR(INDEX(Bands!$D$3:$D$6,MATCH(F293,Bands!$A$3:$A$6,0)),""))</f>
        <v>Golden-brown with a reddish tint, brown edges, somewhat uneven</v>
      </c>
      <c r="H293" s="12" t="str">
        <f>IF(F293="","",IFERROR(INDEX(Bands!$J$3:$J$6,MATCH(F293,Bands!$A$3:$A$6,0)),""))</f>
        <v>Not pale yellow, which would match a low value. Not black or burnt, since very dark chips can have lower acrylamide.</v>
      </c>
      <c r="I293" s="12" t="str">
        <f>IF(F293="","","Ch3_"&amp;TEXT(COUNT($E$2:E293),"000")&amp;"_"&amp;SUBSTITUTE(F293," ","-")&amp;"_"&amp;TEXT(E293,"0")&amp;".jpg")</f>
        <v>Ch3_277_High_1116.jpg</v>
      </c>
    </row>
    <row r="294" spans="1:9" ht="12.75" customHeight="1" x14ac:dyDescent="0.25">
      <c r="A294" s="2"/>
      <c r="B294" s="4" t="s">
        <v>12</v>
      </c>
      <c r="C294" s="9">
        <v>1.0015000000000001</v>
      </c>
      <c r="D294" s="9">
        <v>66.330608694618107</v>
      </c>
      <c r="E294" s="11">
        <v>662.31261801915196</v>
      </c>
      <c r="F294" s="12" t="str">
        <f>IF(NOT(ISNUMBER(E294)),"",IF(E294&lt;Bands!$B$4,"Low",IF(E294&lt;Bands!$B$5,"Medium",IF(E294&lt;Bands!$B$6,"High","Very high"))))</f>
        <v>Medium</v>
      </c>
      <c r="G294" s="12" t="str">
        <f>IF(F294="","",IFERROR(INDEX(Bands!$D$3:$D$6,MATCH(F294,Bands!$A$3:$A$6,0)),""))</f>
        <v>Golden yellow with light brown at some edges or small spots</v>
      </c>
      <c r="H294" s="12" t="str">
        <f>IF(F294="","",IFERROR(INDEX(Bands!$J$3:$J$6,MATCH(F294,Bands!$A$3:$A$6,0)),""))</f>
        <v>Not pale yellow (matches a low value) and not deep reddish-brown (matches a high value). Avoid black or burnt chips.</v>
      </c>
      <c r="I294" s="12" t="str">
        <f>IF(F294="","","Ch3_"&amp;TEXT(COUNT($E$2:E294),"000")&amp;"_"&amp;SUBSTITUTE(F294," ","-")&amp;"_"&amp;TEXT(E294,"0")&amp;".jpg")</f>
        <v>Ch3_278_Medium_662.jpg</v>
      </c>
    </row>
    <row r="295" spans="1:9" ht="12.75" customHeight="1" x14ac:dyDescent="0.25">
      <c r="A295" s="2"/>
      <c r="B295" s="4" t="s">
        <v>13</v>
      </c>
      <c r="C295" s="9">
        <v>1.0012000000000001</v>
      </c>
      <c r="D295" s="9">
        <v>261.33827343793899</v>
      </c>
      <c r="E295" s="11">
        <v>2610.2504338587601</v>
      </c>
      <c r="F295" s="12" t="str">
        <f>IF(NOT(ISNUMBER(E295)),"",IF(E295&lt;Bands!$B$4,"Low",IF(E295&lt;Bands!$B$5,"Medium",IF(E295&lt;Bands!$B$6,"High","Very high"))))</f>
        <v>Very high</v>
      </c>
      <c r="G295" s="12" t="str">
        <f>IF(F295="","",IFERROR(INDEX(Bands!$D$3:$D$6,MATCH(F295,Bands!$A$3:$A$6,0)),""))</f>
        <v>Deep golden-brown to medium brown with a reddish tone; edges darkest, centre golden or light brown</v>
      </c>
      <c r="H295" s="12" t="str">
        <f>IF(F295="","",IFERROR(INDEX(Bands!$J$3:$J$6,MATCH(F295,Bands!$A$3:$A$6,0)),""))</f>
        <v>Not pale yellow, which would match a low value, or black and burnt, since very dark chips can have lower acrylamide.</v>
      </c>
      <c r="I295" s="12" t="str">
        <f>IF(F295="","","Ch3_"&amp;TEXT(COUNT($E$2:E295),"000")&amp;"_"&amp;SUBSTITUTE(F295," ","-")&amp;"_"&amp;TEXT(E295,"0")&amp;".jpg")</f>
        <v>Ch3_279_Very-high_2610.jpg</v>
      </c>
    </row>
    <row r="296" spans="1:9" ht="12.75" customHeight="1" x14ac:dyDescent="0.25">
      <c r="A296" s="2"/>
      <c r="B296" s="4" t="s">
        <v>14</v>
      </c>
      <c r="C296" s="9">
        <v>1</v>
      </c>
      <c r="D296" s="9">
        <v>82.859672456497407</v>
      </c>
      <c r="E296" s="11">
        <v>828.59672456497401</v>
      </c>
      <c r="F296" s="12" t="str">
        <f>IF(NOT(ISNUMBER(E296)),"",IF(E296&lt;Bands!$B$4,"Low",IF(E296&lt;Bands!$B$5,"Medium",IF(E296&lt;Bands!$B$6,"High","Very high"))))</f>
        <v>Medium</v>
      </c>
      <c r="G296" s="12" t="str">
        <f>IF(F296="","",IFERROR(INDEX(Bands!$D$3:$D$6,MATCH(F296,Bands!$A$3:$A$6,0)),""))</f>
        <v>Golden yellow with light brown at some edges or small spots</v>
      </c>
      <c r="H296" s="12" t="str">
        <f>IF(F296="","",IFERROR(INDEX(Bands!$J$3:$J$6,MATCH(F296,Bands!$A$3:$A$6,0)),""))</f>
        <v>Not pale yellow (matches a low value) and not deep reddish-brown (matches a high value). Avoid black or burnt chips.</v>
      </c>
      <c r="I296" s="12" t="str">
        <f>IF(F296="","","Ch3_"&amp;TEXT(COUNT($E$2:E296),"000")&amp;"_"&amp;SUBSTITUTE(F296," ","-")&amp;"_"&amp;TEXT(E296,"0")&amp;".jpg")</f>
        <v>Ch3_280_Medium_829.jpg</v>
      </c>
    </row>
    <row r="297" spans="1:9" ht="12.75" customHeight="1" x14ac:dyDescent="0.25">
      <c r="A297" s="2"/>
      <c r="B297" s="4" t="s">
        <v>15</v>
      </c>
      <c r="C297" s="9">
        <v>1.0012000000000001</v>
      </c>
      <c r="D297" s="9">
        <v>205.10428845908899</v>
      </c>
      <c r="E297" s="11">
        <v>2048.5845830911799</v>
      </c>
      <c r="F297" s="12" t="str">
        <f>IF(NOT(ISNUMBER(E297)),"",IF(E297&lt;Bands!$B$4,"Low",IF(E297&lt;Bands!$B$5,"Medium",IF(E297&lt;Bands!$B$6,"High","Very high"))))</f>
        <v>Very high</v>
      </c>
      <c r="G297" s="12" t="str">
        <f>IF(F297="","",IFERROR(INDEX(Bands!$D$3:$D$6,MATCH(F297,Bands!$A$3:$A$6,0)),""))</f>
        <v>Deep golden-brown to medium brown with a reddish tone; edges darkest, centre golden or light brown</v>
      </c>
      <c r="H297" s="12" t="str">
        <f>IF(F297="","",IFERROR(INDEX(Bands!$J$3:$J$6,MATCH(F297,Bands!$A$3:$A$6,0)),""))</f>
        <v>Not pale yellow, which would match a low value, or black and burnt, since very dark chips can have lower acrylamide.</v>
      </c>
      <c r="I297" s="12" t="str">
        <f>IF(F297="","","Ch3_"&amp;TEXT(COUNT($E$2:E297),"000")&amp;"_"&amp;SUBSTITUTE(F297," ","-")&amp;"_"&amp;TEXT(E297,"0")&amp;".jpg")</f>
        <v>Ch3_281_Very-high_2049.jpg</v>
      </c>
    </row>
    <row r="298" spans="1:9" ht="12.75" customHeight="1" x14ac:dyDescent="0.25">
      <c r="A298" s="2"/>
      <c r="B298" s="4" t="s">
        <v>16</v>
      </c>
      <c r="C298" s="9">
        <v>1.0004</v>
      </c>
      <c r="D298" s="9">
        <v>213.33458257116101</v>
      </c>
      <c r="E298" s="11">
        <v>2132.4928285801798</v>
      </c>
      <c r="F298" s="12" t="str">
        <f>IF(NOT(ISNUMBER(E298)),"",IF(E298&lt;Bands!$B$4,"Low",IF(E298&lt;Bands!$B$5,"Medium",IF(E298&lt;Bands!$B$6,"High","Very high"))))</f>
        <v>Very high</v>
      </c>
      <c r="G298" s="12" t="str">
        <f>IF(F298="","",IFERROR(INDEX(Bands!$D$3:$D$6,MATCH(F298,Bands!$A$3:$A$6,0)),""))</f>
        <v>Deep golden-brown to medium brown with a reddish tone; edges darkest, centre golden or light brown</v>
      </c>
      <c r="H298" s="12" t="str">
        <f>IF(F298="","",IFERROR(INDEX(Bands!$J$3:$J$6,MATCH(F298,Bands!$A$3:$A$6,0)),""))</f>
        <v>Not pale yellow, which would match a low value, or black and burnt, since very dark chips can have lower acrylamide.</v>
      </c>
      <c r="I298" s="12" t="str">
        <f>IF(F298="","","Ch3_"&amp;TEXT(COUNT($E$2:E298),"000")&amp;"_"&amp;SUBSTITUTE(F298," ","-")&amp;"_"&amp;TEXT(E298,"0")&amp;".jpg")</f>
        <v>Ch3_282_Very-high_2132.jpg</v>
      </c>
    </row>
    <row r="299" spans="1:9" ht="12.75" customHeight="1" x14ac:dyDescent="0.25">
      <c r="A299" s="2"/>
      <c r="B299" s="4" t="s">
        <v>17</v>
      </c>
      <c r="C299" s="9">
        <v>1.002</v>
      </c>
      <c r="D299" s="9">
        <v>236.55058994917499</v>
      </c>
      <c r="E299" s="11">
        <v>2360.7843308300899</v>
      </c>
      <c r="F299" s="12" t="str">
        <f>IF(NOT(ISNUMBER(E299)),"",IF(E299&lt;Bands!$B$4,"Low",IF(E299&lt;Bands!$B$5,"Medium",IF(E299&lt;Bands!$B$6,"High","Very high"))))</f>
        <v>Very high</v>
      </c>
      <c r="G299" s="12" t="str">
        <f>IF(F299="","",IFERROR(INDEX(Bands!$D$3:$D$6,MATCH(F299,Bands!$A$3:$A$6,0)),""))</f>
        <v>Deep golden-brown to medium brown with a reddish tone; edges darkest, centre golden or light brown</v>
      </c>
      <c r="H299" s="12" t="str">
        <f>IF(F299="","",IFERROR(INDEX(Bands!$J$3:$J$6,MATCH(F299,Bands!$A$3:$A$6,0)),""))</f>
        <v>Not pale yellow, which would match a low value, or black and burnt, since very dark chips can have lower acrylamide.</v>
      </c>
      <c r="I299" s="12" t="str">
        <f>IF(F299="","","Ch3_"&amp;TEXT(COUNT($E$2:E299),"000")&amp;"_"&amp;SUBSTITUTE(F299," ","-")&amp;"_"&amp;TEXT(E299,"0")&amp;".jpg")</f>
        <v>Ch3_283_Very-high_2361.jpg</v>
      </c>
    </row>
    <row r="300" spans="1:9" ht="12.75" customHeight="1" x14ac:dyDescent="0.25">
      <c r="A300" s="2"/>
      <c r="B300" s="4" t="s">
        <v>18</v>
      </c>
      <c r="C300" s="9">
        <v>1.0015000000000001</v>
      </c>
      <c r="D300" s="9">
        <v>190.839875453774</v>
      </c>
      <c r="E300" s="11">
        <v>1905.5404438719299</v>
      </c>
      <c r="F300" s="12" t="str">
        <f>IF(NOT(ISNUMBER(E300)),"",IF(E300&lt;Bands!$B$4,"Low",IF(E300&lt;Bands!$B$5,"Medium",IF(E300&lt;Bands!$B$6,"High","Very high"))))</f>
        <v>High</v>
      </c>
      <c r="G300" s="12" t="str">
        <f>IF(F300="","",IFERROR(INDEX(Bands!$D$3:$D$6,MATCH(F300,Bands!$A$3:$A$6,0)),""))</f>
        <v>Golden-brown with a reddish tint, brown edges, somewhat uneven</v>
      </c>
      <c r="H300" s="12" t="str">
        <f>IF(F300="","",IFERROR(INDEX(Bands!$J$3:$J$6,MATCH(F300,Bands!$A$3:$A$6,0)),""))</f>
        <v>Not pale yellow, which would match a low value. Not black or burnt, since very dark chips can have lower acrylamide.</v>
      </c>
      <c r="I300" s="12" t="str">
        <f>IF(F300="","","Ch3_"&amp;TEXT(COUNT($E$2:E300),"000")&amp;"_"&amp;SUBSTITUTE(F300," ","-")&amp;"_"&amp;TEXT(E300,"0")&amp;".jpg")</f>
        <v>Ch3_284_High_1906.jpg</v>
      </c>
    </row>
    <row r="301" spans="1:9" ht="12.75" customHeight="1" x14ac:dyDescent="0.25">
      <c r="A301" s="2"/>
      <c r="B301" s="4" t="s">
        <v>19</v>
      </c>
      <c r="C301" s="9">
        <v>1.0023</v>
      </c>
      <c r="D301" s="9">
        <v>108.87328091035</v>
      </c>
      <c r="E301" s="11">
        <v>1086.2344698229099</v>
      </c>
      <c r="F301" s="12" t="str">
        <f>IF(NOT(ISNUMBER(E301)),"",IF(E301&lt;Bands!$B$4,"Low",IF(E301&lt;Bands!$B$5,"Medium",IF(E301&lt;Bands!$B$6,"High","Very high"))))</f>
        <v>High</v>
      </c>
      <c r="G301" s="12" t="str">
        <f>IF(F301="","",IFERROR(INDEX(Bands!$D$3:$D$6,MATCH(F301,Bands!$A$3:$A$6,0)),""))</f>
        <v>Golden-brown with a reddish tint, brown edges, somewhat uneven</v>
      </c>
      <c r="H301" s="12" t="str">
        <f>IF(F301="","",IFERROR(INDEX(Bands!$J$3:$J$6,MATCH(F301,Bands!$A$3:$A$6,0)),""))</f>
        <v>Not pale yellow, which would match a low value. Not black or burnt, since very dark chips can have lower acrylamide.</v>
      </c>
      <c r="I301" s="12" t="str">
        <f>IF(F301="","","Ch3_"&amp;TEXT(COUNT($E$2:E301),"000")&amp;"_"&amp;SUBSTITUTE(F301," ","-")&amp;"_"&amp;TEXT(E301,"0")&amp;".jpg")</f>
        <v>Ch3_285_High_1086.jpg</v>
      </c>
    </row>
    <row r="302" spans="1:9" ht="12.75" customHeight="1" x14ac:dyDescent="0.25">
      <c r="A302" s="2"/>
      <c r="B302" s="4" t="s">
        <v>20</v>
      </c>
      <c r="C302" s="9">
        <v>1.0013000000000001</v>
      </c>
      <c r="D302" s="9">
        <v>68.943250423939404</v>
      </c>
      <c r="E302" s="11">
        <v>688.53740561209804</v>
      </c>
      <c r="F302" s="12" t="str">
        <f>IF(NOT(ISNUMBER(E302)),"",IF(E302&lt;Bands!$B$4,"Low",IF(E302&lt;Bands!$B$5,"Medium",IF(E302&lt;Bands!$B$6,"High","Very high"))))</f>
        <v>Medium</v>
      </c>
      <c r="G302" s="12" t="str">
        <f>IF(F302="","",IFERROR(INDEX(Bands!$D$3:$D$6,MATCH(F302,Bands!$A$3:$A$6,0)),""))</f>
        <v>Golden yellow with light brown at some edges or small spots</v>
      </c>
      <c r="H302" s="12" t="str">
        <f>IF(F302="","",IFERROR(INDEX(Bands!$J$3:$J$6,MATCH(F302,Bands!$A$3:$A$6,0)),""))</f>
        <v>Not pale yellow (matches a low value) and not deep reddish-brown (matches a high value). Avoid black or burnt chips.</v>
      </c>
      <c r="I302" s="12" t="str">
        <f>IF(F302="","","Ch3_"&amp;TEXT(COUNT($E$2:E302),"000")&amp;"_"&amp;SUBSTITUTE(F302," ","-")&amp;"_"&amp;TEXT(E302,"0")&amp;".jpg")</f>
        <v>Ch3_286_Medium_689.jpg</v>
      </c>
    </row>
    <row r="303" spans="1:9" ht="12.75" customHeight="1" x14ac:dyDescent="0.25">
      <c r="A303" s="2"/>
      <c r="B303" s="4" t="s">
        <v>21</v>
      </c>
      <c r="C303" s="9">
        <v>1.0013000000000001</v>
      </c>
      <c r="D303" s="9">
        <v>78.358621642103003</v>
      </c>
      <c r="E303" s="11">
        <v>782.56887688108498</v>
      </c>
      <c r="F303" s="12" t="str">
        <f>IF(NOT(ISNUMBER(E303)),"",IF(E303&lt;Bands!$B$4,"Low",IF(E303&lt;Bands!$B$5,"Medium",IF(E303&lt;Bands!$B$6,"High","Very high"))))</f>
        <v>Medium</v>
      </c>
      <c r="G303" s="12" t="str">
        <f>IF(F303="","",IFERROR(INDEX(Bands!$D$3:$D$6,MATCH(F303,Bands!$A$3:$A$6,0)),""))</f>
        <v>Golden yellow with light brown at some edges or small spots</v>
      </c>
      <c r="H303" s="12" t="str">
        <f>IF(F303="","",IFERROR(INDEX(Bands!$J$3:$J$6,MATCH(F303,Bands!$A$3:$A$6,0)),""))</f>
        <v>Not pale yellow (matches a low value) and not deep reddish-brown (matches a high value). Avoid black or burnt chips.</v>
      </c>
      <c r="I303" s="12" t="str">
        <f>IF(F303="","","Ch3_"&amp;TEXT(COUNT($E$2:E303),"000")&amp;"_"&amp;SUBSTITUTE(F303," ","-")&amp;"_"&amp;TEXT(E303,"0")&amp;".jpg")</f>
        <v>Ch3_287_Medium_783.jpg</v>
      </c>
    </row>
    <row r="304" spans="1:9" ht="12.75" customHeight="1" x14ac:dyDescent="0.25">
      <c r="C304" s="9"/>
      <c r="D304" s="9"/>
      <c r="E304" s="11"/>
    </row>
    <row r="305" spans="1:9" ht="12.75" customHeight="1" x14ac:dyDescent="0.25">
      <c r="A305" s="2" t="s">
        <v>55</v>
      </c>
      <c r="B305" s="4">
        <v>1</v>
      </c>
      <c r="C305" s="9">
        <v>1.0002</v>
      </c>
      <c r="D305" s="9">
        <v>352.56594808943498</v>
      </c>
      <c r="E305" s="11">
        <v>3524.9544899963498</v>
      </c>
      <c r="F305" s="12" t="str">
        <f>IF(NOT(ISNUMBER(E305)),"",IF(E305&lt;Bands!$B$4,"Low",IF(E305&lt;Bands!$B$5,"Medium",IF(E305&lt;Bands!$B$6,"High","Very high"))))</f>
        <v>Very high</v>
      </c>
      <c r="G305" s="12" t="str">
        <f>IF(F305="","",IFERROR(INDEX(Bands!$D$3:$D$6,MATCH(F305,Bands!$A$3:$A$6,0)),""))</f>
        <v>Deep golden-brown to medium brown with a reddish tone; edges darkest, centre golden or light brown</v>
      </c>
      <c r="H305" s="12" t="str">
        <f>IF(F305="","",IFERROR(INDEX(Bands!$J$3:$J$6,MATCH(F305,Bands!$A$3:$A$6,0)),""))</f>
        <v>Not pale yellow, which would match a low value, or black and burnt, since very dark chips can have lower acrylamide.</v>
      </c>
      <c r="I305" s="12" t="str">
        <f>IF(F305="","","Ch3_"&amp;TEXT(COUNT($E$2:E305),"000")&amp;"_"&amp;SUBSTITUTE(F305," ","-")&amp;"_"&amp;TEXT(E305,"0")&amp;".jpg")</f>
        <v>Ch3_288_Very-high_3525.jpg</v>
      </c>
    </row>
    <row r="306" spans="1:9" ht="12.75" customHeight="1" x14ac:dyDescent="0.25">
      <c r="A306" s="2"/>
      <c r="B306" s="4" t="s">
        <v>11</v>
      </c>
      <c r="C306" s="9">
        <v>0.99729999999999996</v>
      </c>
      <c r="D306" s="9">
        <v>240.044774616811</v>
      </c>
      <c r="E306" s="11">
        <v>2406.9465017227599</v>
      </c>
      <c r="F306" s="12" t="str">
        <f>IF(NOT(ISNUMBER(E306)),"",IF(E306&lt;Bands!$B$4,"Low",IF(E306&lt;Bands!$B$5,"Medium",IF(E306&lt;Bands!$B$6,"High","Very high"))))</f>
        <v>Very high</v>
      </c>
      <c r="G306" s="12" t="str">
        <f>IF(F306="","",IFERROR(INDEX(Bands!$D$3:$D$6,MATCH(F306,Bands!$A$3:$A$6,0)),""))</f>
        <v>Deep golden-brown to medium brown with a reddish tone; edges darkest, centre golden or light brown</v>
      </c>
      <c r="H306" s="12" t="str">
        <f>IF(F306="","",IFERROR(INDEX(Bands!$J$3:$J$6,MATCH(F306,Bands!$A$3:$A$6,0)),""))</f>
        <v>Not pale yellow, which would match a low value, or black and burnt, since very dark chips can have lower acrylamide.</v>
      </c>
      <c r="I306" s="12" t="str">
        <f>IF(F306="","","Ch3_"&amp;TEXT(COUNT($E$2:E306),"000")&amp;"_"&amp;SUBSTITUTE(F306," ","-")&amp;"_"&amp;TEXT(E306,"0")&amp;".jpg")</f>
        <v>Ch3_289_Very-high_2407.jpg</v>
      </c>
    </row>
    <row r="307" spans="1:9" ht="12.75" customHeight="1" x14ac:dyDescent="0.25">
      <c r="A307" s="2"/>
      <c r="B307" s="4" t="s">
        <v>12</v>
      </c>
      <c r="C307" s="9">
        <v>1.018</v>
      </c>
      <c r="D307" s="9">
        <v>406.16803308839098</v>
      </c>
      <c r="E307" s="11">
        <v>3989.86280047535</v>
      </c>
      <c r="F307" s="12" t="str">
        <f>IF(NOT(ISNUMBER(E307)),"",IF(E307&lt;Bands!$B$4,"Low",IF(E307&lt;Bands!$B$5,"Medium",IF(E307&lt;Bands!$B$6,"High","Very high"))))</f>
        <v>Very high</v>
      </c>
      <c r="G307" s="12" t="str">
        <f>IF(F307="","",IFERROR(INDEX(Bands!$D$3:$D$6,MATCH(F307,Bands!$A$3:$A$6,0)),""))</f>
        <v>Deep golden-brown to medium brown with a reddish tone; edges darkest, centre golden or light brown</v>
      </c>
      <c r="H307" s="12" t="str">
        <f>IF(F307="","",IFERROR(INDEX(Bands!$J$3:$J$6,MATCH(F307,Bands!$A$3:$A$6,0)),""))</f>
        <v>Not pale yellow, which would match a low value, or black and burnt, since very dark chips can have lower acrylamide.</v>
      </c>
      <c r="I307" s="12" t="str">
        <f>IF(F307="","","Ch3_"&amp;TEXT(COUNT($E$2:E307),"000")&amp;"_"&amp;SUBSTITUTE(F307," ","-")&amp;"_"&amp;TEXT(E307,"0")&amp;".jpg")</f>
        <v>Ch3_290_Very-high_3990.jpg</v>
      </c>
    </row>
    <row r="308" spans="1:9" ht="12.75" customHeight="1" x14ac:dyDescent="0.25">
      <c r="A308" s="2"/>
      <c r="B308" s="4" t="s">
        <v>13</v>
      </c>
      <c r="C308" s="9">
        <v>0.996</v>
      </c>
      <c r="D308" s="9">
        <v>579.16398331681603</v>
      </c>
      <c r="E308" s="11">
        <v>5814.8994308917299</v>
      </c>
      <c r="F308" s="12" t="str">
        <f>IF(NOT(ISNUMBER(E308)),"",IF(E308&lt;Bands!$B$4,"Low",IF(E308&lt;Bands!$B$5,"Medium",IF(E308&lt;Bands!$B$6,"High","Very high"))))</f>
        <v>Very high</v>
      </c>
      <c r="G308" s="12" t="str">
        <f>IF(F308="","",IFERROR(INDEX(Bands!$D$3:$D$6,MATCH(F308,Bands!$A$3:$A$6,0)),""))</f>
        <v>Deep golden-brown to medium brown with a reddish tone; edges darkest, centre golden or light brown</v>
      </c>
      <c r="H308" s="12" t="str">
        <f>IF(F308="","",IFERROR(INDEX(Bands!$J$3:$J$6,MATCH(F308,Bands!$A$3:$A$6,0)),""))</f>
        <v>Not pale yellow, which would match a low value, or black and burnt, since very dark chips can have lower acrylamide.</v>
      </c>
      <c r="I308" s="12" t="str">
        <f>IF(F308="","","Ch3_"&amp;TEXT(COUNT($E$2:E308),"000")&amp;"_"&amp;SUBSTITUTE(F308," ","-")&amp;"_"&amp;TEXT(E308,"0")&amp;".jpg")</f>
        <v>Ch3_291_Very-high_5815.jpg</v>
      </c>
    </row>
    <row r="309" spans="1:9" ht="12.75" customHeight="1" x14ac:dyDescent="0.25">
      <c r="A309" s="2"/>
      <c r="B309" s="4" t="s">
        <v>14</v>
      </c>
      <c r="C309" s="9">
        <v>1.0078</v>
      </c>
      <c r="D309" s="9">
        <v>422.457762630883</v>
      </c>
      <c r="E309" s="11">
        <v>4191.8809548609197</v>
      </c>
      <c r="F309" s="12" t="str">
        <f>IF(NOT(ISNUMBER(E309)),"",IF(E309&lt;Bands!$B$4,"Low",IF(E309&lt;Bands!$B$5,"Medium",IF(E309&lt;Bands!$B$6,"High","Very high"))))</f>
        <v>Very high</v>
      </c>
      <c r="G309" s="12" t="str">
        <f>IF(F309="","",IFERROR(INDEX(Bands!$D$3:$D$6,MATCH(F309,Bands!$A$3:$A$6,0)),""))</f>
        <v>Deep golden-brown to medium brown with a reddish tone; edges darkest, centre golden or light brown</v>
      </c>
      <c r="H309" s="12" t="str">
        <f>IF(F309="","",IFERROR(INDEX(Bands!$J$3:$J$6,MATCH(F309,Bands!$A$3:$A$6,0)),""))</f>
        <v>Not pale yellow, which would match a low value, or black and burnt, since very dark chips can have lower acrylamide.</v>
      </c>
      <c r="I309" s="12" t="str">
        <f>IF(F309="","","Ch3_"&amp;TEXT(COUNT($E$2:E309),"000")&amp;"_"&amp;SUBSTITUTE(F309," ","-")&amp;"_"&amp;TEXT(E309,"0")&amp;".jpg")</f>
        <v>Ch3_292_Very-high_4192.jpg</v>
      </c>
    </row>
    <row r="310" spans="1:9" ht="12.75" customHeight="1" x14ac:dyDescent="0.25">
      <c r="A310" s="2"/>
      <c r="B310" s="4" t="s">
        <v>15</v>
      </c>
      <c r="C310" s="9">
        <v>1.0016</v>
      </c>
      <c r="D310" s="9">
        <v>108.532397825313</v>
      </c>
      <c r="E310" s="11">
        <v>1083.5902338789199</v>
      </c>
      <c r="F310" s="12" t="str">
        <f>IF(NOT(ISNUMBER(E310)),"",IF(E310&lt;Bands!$B$4,"Low",IF(E310&lt;Bands!$B$5,"Medium",IF(E310&lt;Bands!$B$6,"High","Very high"))))</f>
        <v>High</v>
      </c>
      <c r="G310" s="12" t="str">
        <f>IF(F310="","",IFERROR(INDEX(Bands!$D$3:$D$6,MATCH(F310,Bands!$A$3:$A$6,0)),""))</f>
        <v>Golden-brown with a reddish tint, brown edges, somewhat uneven</v>
      </c>
      <c r="H310" s="12" t="str">
        <f>IF(F310="","",IFERROR(INDEX(Bands!$J$3:$J$6,MATCH(F310,Bands!$A$3:$A$6,0)),""))</f>
        <v>Not pale yellow, which would match a low value. Not black or burnt, since very dark chips can have lower acrylamide.</v>
      </c>
      <c r="I310" s="12" t="str">
        <f>IF(F310="","","Ch3_"&amp;TEXT(COUNT($E$2:E310),"000")&amp;"_"&amp;SUBSTITUTE(F310," ","-")&amp;"_"&amp;TEXT(E310,"0")&amp;".jpg")</f>
        <v>Ch3_293_High_1084.jpg</v>
      </c>
    </row>
    <row r="311" spans="1:9" ht="12.75" customHeight="1" x14ac:dyDescent="0.25">
      <c r="A311" s="2"/>
      <c r="B311" s="4" t="s">
        <v>16</v>
      </c>
      <c r="C311" s="9">
        <v>0.99680000000000002</v>
      </c>
      <c r="D311" s="9">
        <v>169.00130756770599</v>
      </c>
      <c r="E311" s="11">
        <v>1695.43847880925</v>
      </c>
      <c r="F311" s="12" t="str">
        <f>IF(NOT(ISNUMBER(E311)),"",IF(E311&lt;Bands!$B$4,"Low",IF(E311&lt;Bands!$B$5,"Medium",IF(E311&lt;Bands!$B$6,"High","Very high"))))</f>
        <v>High</v>
      </c>
      <c r="G311" s="12" t="str">
        <f>IF(F311="","",IFERROR(INDEX(Bands!$D$3:$D$6,MATCH(F311,Bands!$A$3:$A$6,0)),""))</f>
        <v>Golden-brown with a reddish tint, brown edges, somewhat uneven</v>
      </c>
      <c r="H311" s="12" t="str">
        <f>IF(F311="","",IFERROR(INDEX(Bands!$J$3:$J$6,MATCH(F311,Bands!$A$3:$A$6,0)),""))</f>
        <v>Not pale yellow, which would match a low value. Not black or burnt, since very dark chips can have lower acrylamide.</v>
      </c>
      <c r="I311" s="12" t="str">
        <f>IF(F311="","","Ch3_"&amp;TEXT(COUNT($E$2:E311),"000")&amp;"_"&amp;SUBSTITUTE(F311," ","-")&amp;"_"&amp;TEXT(E311,"0")&amp;".jpg")</f>
        <v>Ch3_294_High_1695.jpg</v>
      </c>
    </row>
    <row r="312" spans="1:9" ht="12.75" customHeight="1" x14ac:dyDescent="0.25">
      <c r="A312" s="2"/>
      <c r="B312" s="4" t="s">
        <v>17</v>
      </c>
      <c r="C312" s="9">
        <v>1.0068999999999999</v>
      </c>
      <c r="D312" s="9">
        <v>68.084689711971905</v>
      </c>
      <c r="E312" s="11">
        <v>676.18124651873995</v>
      </c>
      <c r="F312" s="12" t="str">
        <f>IF(NOT(ISNUMBER(E312)),"",IF(E312&lt;Bands!$B$4,"Low",IF(E312&lt;Bands!$B$5,"Medium",IF(E312&lt;Bands!$B$6,"High","Very high"))))</f>
        <v>Medium</v>
      </c>
      <c r="G312" s="12" t="str">
        <f>IF(F312="","",IFERROR(INDEX(Bands!$D$3:$D$6,MATCH(F312,Bands!$A$3:$A$6,0)),""))</f>
        <v>Golden yellow with light brown at some edges or small spots</v>
      </c>
      <c r="H312" s="12" t="str">
        <f>IF(F312="","",IFERROR(INDEX(Bands!$J$3:$J$6,MATCH(F312,Bands!$A$3:$A$6,0)),""))</f>
        <v>Not pale yellow (matches a low value) and not deep reddish-brown (matches a high value). Avoid black or burnt chips.</v>
      </c>
      <c r="I312" s="12" t="str">
        <f>IF(F312="","","Ch3_"&amp;TEXT(COUNT($E$2:E312),"000")&amp;"_"&amp;SUBSTITUTE(F312," ","-")&amp;"_"&amp;TEXT(E312,"0")&amp;".jpg")</f>
        <v>Ch3_295_Medium_676.jpg</v>
      </c>
    </row>
    <row r="313" spans="1:9" ht="12.75" customHeight="1" x14ac:dyDescent="0.25">
      <c r="A313" s="2"/>
      <c r="B313" s="4" t="s">
        <v>18</v>
      </c>
      <c r="C313" s="9">
        <v>1.0082</v>
      </c>
      <c r="D313" s="9">
        <v>132.03154462446901</v>
      </c>
      <c r="E313" s="11">
        <v>1309.57691553728</v>
      </c>
      <c r="F313" s="12" t="str">
        <f>IF(NOT(ISNUMBER(E313)),"",IF(E313&lt;Bands!$B$4,"Low",IF(E313&lt;Bands!$B$5,"Medium",IF(E313&lt;Bands!$B$6,"High","Very high"))))</f>
        <v>High</v>
      </c>
      <c r="G313" s="12" t="str">
        <f>IF(F313="","",IFERROR(INDEX(Bands!$D$3:$D$6,MATCH(F313,Bands!$A$3:$A$6,0)),""))</f>
        <v>Golden-brown with a reddish tint, brown edges, somewhat uneven</v>
      </c>
      <c r="H313" s="12" t="str">
        <f>IF(F313="","",IFERROR(INDEX(Bands!$J$3:$J$6,MATCH(F313,Bands!$A$3:$A$6,0)),""))</f>
        <v>Not pale yellow, which would match a low value. Not black or burnt, since very dark chips can have lower acrylamide.</v>
      </c>
      <c r="I313" s="12" t="str">
        <f>IF(F313="","","Ch3_"&amp;TEXT(COUNT($E$2:E313),"000")&amp;"_"&amp;SUBSTITUTE(F313," ","-")&amp;"_"&amp;TEXT(E313,"0")&amp;".jpg")</f>
        <v>Ch3_296_High_1310.jpg</v>
      </c>
    </row>
    <row r="314" spans="1:9" ht="12.75" customHeight="1" x14ac:dyDescent="0.25">
      <c r="A314" s="2"/>
      <c r="B314" s="4" t="s">
        <v>19</v>
      </c>
      <c r="C314" s="9">
        <v>1.0091000000000001</v>
      </c>
      <c r="D314" s="9">
        <v>53.4148113317259</v>
      </c>
      <c r="E314" s="11">
        <v>529.33119940269398</v>
      </c>
      <c r="F314" s="12" t="str">
        <f>IF(NOT(ISNUMBER(E314)),"",IF(E314&lt;Bands!$B$4,"Low",IF(E314&lt;Bands!$B$5,"Medium",IF(E314&lt;Bands!$B$6,"High","Very high"))))</f>
        <v>Medium</v>
      </c>
      <c r="G314" s="12" t="str">
        <f>IF(F314="","",IFERROR(INDEX(Bands!$D$3:$D$6,MATCH(F314,Bands!$A$3:$A$6,0)),""))</f>
        <v>Golden yellow with light brown at some edges or small spots</v>
      </c>
      <c r="H314" s="12" t="str">
        <f>IF(F314="","",IFERROR(INDEX(Bands!$J$3:$J$6,MATCH(F314,Bands!$A$3:$A$6,0)),""))</f>
        <v>Not pale yellow (matches a low value) and not deep reddish-brown (matches a high value). Avoid black or burnt chips.</v>
      </c>
      <c r="I314" s="12" t="str">
        <f>IF(F314="","","Ch3_"&amp;TEXT(COUNT($E$2:E314),"000")&amp;"_"&amp;SUBSTITUTE(F314," ","-")&amp;"_"&amp;TEXT(E314,"0")&amp;".jpg")</f>
        <v>Ch3_297_Medium_529.jpg</v>
      </c>
    </row>
    <row r="315" spans="1:9" ht="12.75" customHeight="1" x14ac:dyDescent="0.25">
      <c r="A315" s="2"/>
      <c r="B315" s="4" t="s">
        <v>20</v>
      </c>
      <c r="C315" s="9">
        <v>1.008</v>
      </c>
      <c r="D315" s="9">
        <v>101.862614333275</v>
      </c>
      <c r="E315" s="11">
        <v>1010.54180886186</v>
      </c>
      <c r="F315" s="12" t="str">
        <f>IF(NOT(ISNUMBER(E315)),"",IF(E315&lt;Bands!$B$4,"Low",IF(E315&lt;Bands!$B$5,"Medium",IF(E315&lt;Bands!$B$6,"High","Very high"))))</f>
        <v>High</v>
      </c>
      <c r="G315" s="12" t="str">
        <f>IF(F315="","",IFERROR(INDEX(Bands!$D$3:$D$6,MATCH(F315,Bands!$A$3:$A$6,0)),""))</f>
        <v>Golden-brown with a reddish tint, brown edges, somewhat uneven</v>
      </c>
      <c r="H315" s="12" t="str">
        <f>IF(F315="","",IFERROR(INDEX(Bands!$J$3:$J$6,MATCH(F315,Bands!$A$3:$A$6,0)),""))</f>
        <v>Not pale yellow, which would match a low value. Not black or burnt, since very dark chips can have lower acrylamide.</v>
      </c>
      <c r="I315" s="12" t="str">
        <f>IF(F315="","","Ch3_"&amp;TEXT(COUNT($E$2:E315),"000")&amp;"_"&amp;SUBSTITUTE(F315," ","-")&amp;"_"&amp;TEXT(E315,"0")&amp;".jpg")</f>
        <v>Ch3_298_High_1011.jpg</v>
      </c>
    </row>
    <row r="316" spans="1:9" ht="12.75" customHeight="1" x14ac:dyDescent="0.25">
      <c r="A316" s="2"/>
      <c r="B316" s="4" t="s">
        <v>21</v>
      </c>
      <c r="C316" s="9">
        <v>0.99790000000000001</v>
      </c>
      <c r="D316" s="9">
        <v>385.62608895943498</v>
      </c>
      <c r="E316" s="11">
        <v>3864.3760793610099</v>
      </c>
      <c r="F316" s="12" t="str">
        <f>IF(NOT(ISNUMBER(E316)),"",IF(E316&lt;Bands!$B$4,"Low",IF(E316&lt;Bands!$B$5,"Medium",IF(E316&lt;Bands!$B$6,"High","Very high"))))</f>
        <v>Very high</v>
      </c>
      <c r="G316" s="12" t="str">
        <f>IF(F316="","",IFERROR(INDEX(Bands!$D$3:$D$6,MATCH(F316,Bands!$A$3:$A$6,0)),""))</f>
        <v>Deep golden-brown to medium brown with a reddish tone; edges darkest, centre golden or light brown</v>
      </c>
      <c r="H316" s="12" t="str">
        <f>IF(F316="","",IFERROR(INDEX(Bands!$J$3:$J$6,MATCH(F316,Bands!$A$3:$A$6,0)),""))</f>
        <v>Not pale yellow, which would match a low value, or black and burnt, since very dark chips can have lower acrylamide.</v>
      </c>
      <c r="I316" s="12" t="str">
        <f>IF(F316="","","Ch3_"&amp;TEXT(COUNT($E$2:E316),"000")&amp;"_"&amp;SUBSTITUTE(F316," ","-")&amp;"_"&amp;TEXT(E316,"0")&amp;".jpg")</f>
        <v>Ch3_299_Very-high_3864.jpg</v>
      </c>
    </row>
    <row r="317" spans="1:9" ht="12.75" customHeight="1" x14ac:dyDescent="0.25">
      <c r="C317" s="9"/>
      <c r="D317" s="9"/>
      <c r="E317" s="11"/>
    </row>
    <row r="318" spans="1:9" ht="12.75" customHeight="1" x14ac:dyDescent="0.25">
      <c r="A318" s="2" t="s">
        <v>56</v>
      </c>
      <c r="B318" s="4">
        <v>1</v>
      </c>
      <c r="C318" s="9">
        <v>0.99039999999999995</v>
      </c>
      <c r="D318" s="9">
        <v>104.239490006944</v>
      </c>
      <c r="E318" s="11">
        <v>1052.4988894077501</v>
      </c>
      <c r="F318" s="12" t="str">
        <f>IF(NOT(ISNUMBER(E318)),"",IF(E318&lt;Bands!$B$4,"Low",IF(E318&lt;Bands!$B$5,"Medium",IF(E318&lt;Bands!$B$6,"High","Very high"))))</f>
        <v>High</v>
      </c>
      <c r="G318" s="12" t="str">
        <f>IF(F318="","",IFERROR(INDEX(Bands!$D$3:$D$6,MATCH(F318,Bands!$A$3:$A$6,0)),""))</f>
        <v>Golden-brown with a reddish tint, brown edges, somewhat uneven</v>
      </c>
      <c r="H318" s="12" t="str">
        <f>IF(F318="","",IFERROR(INDEX(Bands!$J$3:$J$6,MATCH(F318,Bands!$A$3:$A$6,0)),""))</f>
        <v>Not pale yellow, which would match a low value. Not black or burnt, since very dark chips can have lower acrylamide.</v>
      </c>
      <c r="I318" s="12" t="str">
        <f>IF(F318="","","Ch3_"&amp;TEXT(COUNT($E$2:E318),"000")&amp;"_"&amp;SUBSTITUTE(F318," ","-")&amp;"_"&amp;TEXT(E318,"0")&amp;".jpg")</f>
        <v>Ch3_300_High_1052.jpg</v>
      </c>
    </row>
    <row r="319" spans="1:9" ht="12.75" customHeight="1" x14ac:dyDescent="0.25">
      <c r="A319" s="2"/>
      <c r="B319" s="4" t="s">
        <v>11</v>
      </c>
      <c r="C319" s="9">
        <v>0.99170000000000003</v>
      </c>
      <c r="D319" s="9">
        <v>396.99294956557202</v>
      </c>
      <c r="E319" s="11">
        <v>4003.1556878649999</v>
      </c>
      <c r="F319" s="12" t="str">
        <f>IF(NOT(ISNUMBER(E319)),"",IF(E319&lt;Bands!$B$4,"Low",IF(E319&lt;Bands!$B$5,"Medium",IF(E319&lt;Bands!$B$6,"High","Very high"))))</f>
        <v>Very high</v>
      </c>
      <c r="G319" s="12" t="str">
        <f>IF(F319="","",IFERROR(INDEX(Bands!$D$3:$D$6,MATCH(F319,Bands!$A$3:$A$6,0)),""))</f>
        <v>Deep golden-brown to medium brown with a reddish tone; edges darkest, centre golden or light brown</v>
      </c>
      <c r="H319" s="12" t="str">
        <f>IF(F319="","",IFERROR(INDEX(Bands!$J$3:$J$6,MATCH(F319,Bands!$A$3:$A$6,0)),""))</f>
        <v>Not pale yellow, which would match a low value, or black and burnt, since very dark chips can have lower acrylamide.</v>
      </c>
      <c r="I319" s="12" t="str">
        <f>IF(F319="","","Ch3_"&amp;TEXT(COUNT($E$2:E319),"000")&amp;"_"&amp;SUBSTITUTE(F319," ","-")&amp;"_"&amp;TEXT(E319,"0")&amp;".jpg")</f>
        <v>Ch3_301_Very-high_4003.jpg</v>
      </c>
    </row>
    <row r="320" spans="1:9" ht="12.75" customHeight="1" x14ac:dyDescent="0.25">
      <c r="A320" s="2"/>
      <c r="B320" s="4" t="s">
        <v>12</v>
      </c>
      <c r="C320" s="9">
        <v>1.006</v>
      </c>
      <c r="D320" s="9">
        <v>848.90918892444097</v>
      </c>
      <c r="E320" s="11">
        <v>8438.4611225093504</v>
      </c>
      <c r="F320" s="12" t="str">
        <f>IF(NOT(ISNUMBER(E320)),"",IF(E320&lt;Bands!$B$4,"Low",IF(E320&lt;Bands!$B$5,"Medium",IF(E320&lt;Bands!$B$6,"High","Very high"))))</f>
        <v>Very high</v>
      </c>
      <c r="G320" s="12" t="str">
        <f>IF(F320="","",IFERROR(INDEX(Bands!$D$3:$D$6,MATCH(F320,Bands!$A$3:$A$6,0)),""))</f>
        <v>Deep golden-brown to medium brown with a reddish tone; edges darkest, centre golden or light brown</v>
      </c>
      <c r="H320" s="12" t="str">
        <f>IF(F320="","",IFERROR(INDEX(Bands!$J$3:$J$6,MATCH(F320,Bands!$A$3:$A$6,0)),""))</f>
        <v>Not pale yellow, which would match a low value, or black and burnt, since very dark chips can have lower acrylamide.</v>
      </c>
      <c r="I320" s="12" t="str">
        <f>IF(F320="","","Ch3_"&amp;TEXT(COUNT($E$2:E320),"000")&amp;"_"&amp;SUBSTITUTE(F320," ","-")&amp;"_"&amp;TEXT(E320,"0")&amp;".jpg")</f>
        <v>Ch3_302_Very-high_8438.jpg</v>
      </c>
    </row>
    <row r="321" spans="1:9" ht="12.75" customHeight="1" x14ac:dyDescent="0.25">
      <c r="A321" s="2"/>
      <c r="B321" s="4" t="s">
        <v>13</v>
      </c>
      <c r="C321" s="9">
        <v>0.99029999999999996</v>
      </c>
      <c r="D321" s="9">
        <v>773.76183180635599</v>
      </c>
      <c r="E321" s="11">
        <v>7813.4083793431901</v>
      </c>
      <c r="F321" s="12" t="str">
        <f>IF(NOT(ISNUMBER(E321)),"",IF(E321&lt;Bands!$B$4,"Low",IF(E321&lt;Bands!$B$5,"Medium",IF(E321&lt;Bands!$B$6,"High","Very high"))))</f>
        <v>Very high</v>
      </c>
      <c r="G321" s="12" t="str">
        <f>IF(F321="","",IFERROR(INDEX(Bands!$D$3:$D$6,MATCH(F321,Bands!$A$3:$A$6,0)),""))</f>
        <v>Deep golden-brown to medium brown with a reddish tone; edges darkest, centre golden or light brown</v>
      </c>
      <c r="H321" s="12" t="str">
        <f>IF(F321="","",IFERROR(INDEX(Bands!$J$3:$J$6,MATCH(F321,Bands!$A$3:$A$6,0)),""))</f>
        <v>Not pale yellow, which would match a low value, or black and burnt, since very dark chips can have lower acrylamide.</v>
      </c>
      <c r="I321" s="12" t="str">
        <f>IF(F321="","","Ch3_"&amp;TEXT(COUNT($E$2:E321),"000")&amp;"_"&amp;SUBSTITUTE(F321," ","-")&amp;"_"&amp;TEXT(E321,"0")&amp;".jpg")</f>
        <v>Ch3_303_Very-high_7813.jpg</v>
      </c>
    </row>
    <row r="322" spans="1:9" ht="12.75" customHeight="1" x14ac:dyDescent="0.25">
      <c r="A322" s="2"/>
      <c r="B322" s="4" t="s">
        <v>14</v>
      </c>
      <c r="C322" s="9">
        <v>0.99109999999999998</v>
      </c>
      <c r="D322" s="9">
        <v>646.82814084362201</v>
      </c>
      <c r="E322" s="11">
        <v>6526.3660664274203</v>
      </c>
      <c r="F322" s="12" t="str">
        <f>IF(NOT(ISNUMBER(E322)),"",IF(E322&lt;Bands!$B$4,"Low",IF(E322&lt;Bands!$B$5,"Medium",IF(E322&lt;Bands!$B$6,"High","Very high"))))</f>
        <v>Very high</v>
      </c>
      <c r="G322" s="12" t="str">
        <f>IF(F322="","",IFERROR(INDEX(Bands!$D$3:$D$6,MATCH(F322,Bands!$A$3:$A$6,0)),""))</f>
        <v>Deep golden-brown to medium brown with a reddish tone; edges darkest, centre golden or light brown</v>
      </c>
      <c r="H322" s="12" t="str">
        <f>IF(F322="","",IFERROR(INDEX(Bands!$J$3:$J$6,MATCH(F322,Bands!$A$3:$A$6,0)),""))</f>
        <v>Not pale yellow, which would match a low value, or black and burnt, since very dark chips can have lower acrylamide.</v>
      </c>
      <c r="I322" s="12" t="str">
        <f>IF(F322="","","Ch3_"&amp;TEXT(COUNT($E$2:E322),"000")&amp;"_"&amp;SUBSTITUTE(F322," ","-")&amp;"_"&amp;TEXT(E322,"0")&amp;".jpg")</f>
        <v>Ch3_304_Very-high_6526.jpg</v>
      </c>
    </row>
    <row r="323" spans="1:9" ht="12.75" customHeight="1" x14ac:dyDescent="0.25">
      <c r="A323" s="2"/>
      <c r="B323" s="4" t="s">
        <v>15</v>
      </c>
      <c r="C323" s="9">
        <v>1.0095000000000001</v>
      </c>
      <c r="D323" s="9">
        <v>468.60671209765502</v>
      </c>
      <c r="E323" s="11">
        <v>4641.9684209772704</v>
      </c>
      <c r="F323" s="12" t="str">
        <f>IF(NOT(ISNUMBER(E323)),"",IF(E323&lt;Bands!$B$4,"Low",IF(E323&lt;Bands!$B$5,"Medium",IF(E323&lt;Bands!$B$6,"High","Very high"))))</f>
        <v>Very high</v>
      </c>
      <c r="G323" s="12" t="str">
        <f>IF(F323="","",IFERROR(INDEX(Bands!$D$3:$D$6,MATCH(F323,Bands!$A$3:$A$6,0)),""))</f>
        <v>Deep golden-brown to medium brown with a reddish tone; edges darkest, centre golden or light brown</v>
      </c>
      <c r="H323" s="12" t="str">
        <f>IF(F323="","",IFERROR(INDEX(Bands!$J$3:$J$6,MATCH(F323,Bands!$A$3:$A$6,0)),""))</f>
        <v>Not pale yellow, which would match a low value, or black and burnt, since very dark chips can have lower acrylamide.</v>
      </c>
      <c r="I323" s="12" t="str">
        <f>IF(F323="","","Ch3_"&amp;TEXT(COUNT($E$2:E323),"000")&amp;"_"&amp;SUBSTITUTE(F323," ","-")&amp;"_"&amp;TEXT(E323,"0")&amp;".jpg")</f>
        <v>Ch3_305_Very-high_4642.jpg</v>
      </c>
    </row>
    <row r="324" spans="1:9" ht="12.75" customHeight="1" x14ac:dyDescent="0.25">
      <c r="A324" s="2"/>
      <c r="B324" s="4" t="s">
        <v>16</v>
      </c>
      <c r="C324" s="9">
        <v>0.99729999999999996</v>
      </c>
      <c r="D324" s="9">
        <v>240.27459718156399</v>
      </c>
      <c r="E324" s="11">
        <v>2409.2509493789598</v>
      </c>
      <c r="F324" s="12" t="str">
        <f>IF(NOT(ISNUMBER(E324)),"",IF(E324&lt;Bands!$B$4,"Low",IF(E324&lt;Bands!$B$5,"Medium",IF(E324&lt;Bands!$B$6,"High","Very high"))))</f>
        <v>Very high</v>
      </c>
      <c r="G324" s="12" t="str">
        <f>IF(F324="","",IFERROR(INDEX(Bands!$D$3:$D$6,MATCH(F324,Bands!$A$3:$A$6,0)),""))</f>
        <v>Deep golden-brown to medium brown with a reddish tone; edges darkest, centre golden or light brown</v>
      </c>
      <c r="H324" s="12" t="str">
        <f>IF(F324="","",IFERROR(INDEX(Bands!$J$3:$J$6,MATCH(F324,Bands!$A$3:$A$6,0)),""))</f>
        <v>Not pale yellow, which would match a low value, or black and burnt, since very dark chips can have lower acrylamide.</v>
      </c>
      <c r="I324" s="12" t="str">
        <f>IF(F324="","","Ch3_"&amp;TEXT(COUNT($E$2:E324),"000")&amp;"_"&amp;SUBSTITUTE(F324," ","-")&amp;"_"&amp;TEXT(E324,"0")&amp;".jpg")</f>
        <v>Ch3_306_Very-high_2409.jpg</v>
      </c>
    </row>
    <row r="325" spans="1:9" ht="12.75" customHeight="1" x14ac:dyDescent="0.25">
      <c r="A325" s="2"/>
      <c r="B325" s="4" t="s">
        <v>17</v>
      </c>
      <c r="C325" s="9">
        <v>0.99450000000000005</v>
      </c>
      <c r="D325" s="9">
        <v>286.86896586133798</v>
      </c>
      <c r="E325" s="11">
        <v>2884.5547095157199</v>
      </c>
      <c r="F325" s="12" t="str">
        <f>IF(NOT(ISNUMBER(E325)),"",IF(E325&lt;Bands!$B$4,"Low",IF(E325&lt;Bands!$B$5,"Medium",IF(E325&lt;Bands!$B$6,"High","Very high"))))</f>
        <v>Very high</v>
      </c>
      <c r="G325" s="12" t="str">
        <f>IF(F325="","",IFERROR(INDEX(Bands!$D$3:$D$6,MATCH(F325,Bands!$A$3:$A$6,0)),""))</f>
        <v>Deep golden-brown to medium brown with a reddish tone; edges darkest, centre golden or light brown</v>
      </c>
      <c r="H325" s="12" t="str">
        <f>IF(F325="","",IFERROR(INDEX(Bands!$J$3:$J$6,MATCH(F325,Bands!$A$3:$A$6,0)),""))</f>
        <v>Not pale yellow, which would match a low value, or black and burnt, since very dark chips can have lower acrylamide.</v>
      </c>
      <c r="I325" s="12" t="str">
        <f>IF(F325="","","Ch3_"&amp;TEXT(COUNT($E$2:E325),"000")&amp;"_"&amp;SUBSTITUTE(F325," ","-")&amp;"_"&amp;TEXT(E325,"0")&amp;".jpg")</f>
        <v>Ch3_307_Very-high_2885.jpg</v>
      </c>
    </row>
    <row r="326" spans="1:9" ht="12.75" customHeight="1" x14ac:dyDescent="0.25">
      <c r="A326" s="2"/>
      <c r="B326" s="4" t="s">
        <v>18</v>
      </c>
      <c r="C326" s="9">
        <v>1.0045999999999999</v>
      </c>
      <c r="D326" s="9">
        <v>219.79066844841901</v>
      </c>
      <c r="E326" s="11">
        <v>2187.8426084851599</v>
      </c>
      <c r="F326" s="12" t="str">
        <f>IF(NOT(ISNUMBER(E326)),"",IF(E326&lt;Bands!$B$4,"Low",IF(E326&lt;Bands!$B$5,"Medium",IF(E326&lt;Bands!$B$6,"High","Very high"))))</f>
        <v>Very high</v>
      </c>
      <c r="G326" s="12" t="str">
        <f>IF(F326="","",IFERROR(INDEX(Bands!$D$3:$D$6,MATCH(F326,Bands!$A$3:$A$6,0)),""))</f>
        <v>Deep golden-brown to medium brown with a reddish tone; edges darkest, centre golden or light brown</v>
      </c>
      <c r="H326" s="12" t="str">
        <f>IF(F326="","",IFERROR(INDEX(Bands!$J$3:$J$6,MATCH(F326,Bands!$A$3:$A$6,0)),""))</f>
        <v>Not pale yellow, which would match a low value, or black and burnt, since very dark chips can have lower acrylamide.</v>
      </c>
      <c r="I326" s="12" t="str">
        <f>IF(F326="","","Ch3_"&amp;TEXT(COUNT($E$2:E326),"000")&amp;"_"&amp;SUBSTITUTE(F326," ","-")&amp;"_"&amp;TEXT(E326,"0")&amp;".jpg")</f>
        <v>Ch3_308_Very-high_2188.jpg</v>
      </c>
    </row>
    <row r="327" spans="1:9" ht="12.75" customHeight="1" x14ac:dyDescent="0.25">
      <c r="A327" s="2"/>
      <c r="B327" s="4" t="s">
        <v>19</v>
      </c>
      <c r="C327" s="9">
        <v>1.0346</v>
      </c>
      <c r="D327" s="9">
        <v>165.11435884734999</v>
      </c>
      <c r="E327" s="11">
        <v>1595.9245974033399</v>
      </c>
      <c r="F327" s="12" t="str">
        <f>IF(NOT(ISNUMBER(E327)),"",IF(E327&lt;Bands!$B$4,"Low",IF(E327&lt;Bands!$B$5,"Medium",IF(E327&lt;Bands!$B$6,"High","Very high"))))</f>
        <v>High</v>
      </c>
      <c r="G327" s="12" t="str">
        <f>IF(F327="","",IFERROR(INDEX(Bands!$D$3:$D$6,MATCH(F327,Bands!$A$3:$A$6,0)),""))</f>
        <v>Golden-brown with a reddish tint, brown edges, somewhat uneven</v>
      </c>
      <c r="H327" s="12" t="str">
        <f>IF(F327="","",IFERROR(INDEX(Bands!$J$3:$J$6,MATCH(F327,Bands!$A$3:$A$6,0)),""))</f>
        <v>Not pale yellow, which would match a low value. Not black or burnt, since very dark chips can have lower acrylamide.</v>
      </c>
      <c r="I327" s="12" t="str">
        <f>IF(F327="","","Ch3_"&amp;TEXT(COUNT($E$2:E327),"000")&amp;"_"&amp;SUBSTITUTE(F327," ","-")&amp;"_"&amp;TEXT(E327,"0")&amp;".jpg")</f>
        <v>Ch3_309_High_1596.jpg</v>
      </c>
    </row>
    <row r="328" spans="1:9" ht="12.75" customHeight="1" x14ac:dyDescent="0.25">
      <c r="A328" s="2"/>
      <c r="B328" s="4" t="s">
        <v>20</v>
      </c>
      <c r="C328" s="9">
        <v>1.0061</v>
      </c>
      <c r="D328" s="9">
        <v>788.57603644057701</v>
      </c>
      <c r="E328" s="11">
        <v>7837.9488762605797</v>
      </c>
      <c r="F328" s="12" t="str">
        <f>IF(NOT(ISNUMBER(E328)),"",IF(E328&lt;Bands!$B$4,"Low",IF(E328&lt;Bands!$B$5,"Medium",IF(E328&lt;Bands!$B$6,"High","Very high"))))</f>
        <v>Very high</v>
      </c>
      <c r="G328" s="12" t="str">
        <f>IF(F328="","",IFERROR(INDEX(Bands!$D$3:$D$6,MATCH(F328,Bands!$A$3:$A$6,0)),""))</f>
        <v>Deep golden-brown to medium brown with a reddish tone; edges darkest, centre golden or light brown</v>
      </c>
      <c r="H328" s="12" t="str">
        <f>IF(F328="","",IFERROR(INDEX(Bands!$J$3:$J$6,MATCH(F328,Bands!$A$3:$A$6,0)),""))</f>
        <v>Not pale yellow, which would match a low value, or black and burnt, since very dark chips can have lower acrylamide.</v>
      </c>
      <c r="I328" s="12" t="str">
        <f>IF(F328="","","Ch3_"&amp;TEXT(COUNT($E$2:E328),"000")&amp;"_"&amp;SUBSTITUTE(F328," ","-")&amp;"_"&amp;TEXT(E328,"0")&amp;".jpg")</f>
        <v>Ch3_310_Very-high_7838.jpg</v>
      </c>
    </row>
    <row r="329" spans="1:9" ht="12.75" customHeight="1" x14ac:dyDescent="0.25">
      <c r="A329" s="2"/>
      <c r="B329" s="4" t="s">
        <v>21</v>
      </c>
      <c r="C329" s="9">
        <v>0.99760000000000004</v>
      </c>
      <c r="D329" s="9">
        <v>184.38626359748301</v>
      </c>
      <c r="E329" s="11">
        <v>1848.2985525008301</v>
      </c>
      <c r="F329" s="12" t="str">
        <f>IF(NOT(ISNUMBER(E329)),"",IF(E329&lt;Bands!$B$4,"Low",IF(E329&lt;Bands!$B$5,"Medium",IF(E329&lt;Bands!$B$6,"High","Very high"))))</f>
        <v>High</v>
      </c>
      <c r="G329" s="12" t="str">
        <f>IF(F329="","",IFERROR(INDEX(Bands!$D$3:$D$6,MATCH(F329,Bands!$A$3:$A$6,0)),""))</f>
        <v>Golden-brown with a reddish tint, brown edges, somewhat uneven</v>
      </c>
      <c r="H329" s="12" t="str">
        <f>IF(F329="","",IFERROR(INDEX(Bands!$J$3:$J$6,MATCH(F329,Bands!$A$3:$A$6,0)),""))</f>
        <v>Not pale yellow, which would match a low value. Not black or burnt, since very dark chips can have lower acrylamide.</v>
      </c>
      <c r="I329" s="12" t="str">
        <f>IF(F329="","","Ch3_"&amp;TEXT(COUNT($E$2:E329),"000")&amp;"_"&amp;SUBSTITUTE(F329," ","-")&amp;"_"&amp;TEXT(E329,"0")&amp;".jpg")</f>
        <v>Ch3_311_High_1848.jpg</v>
      </c>
    </row>
  </sheetData>
  <mergeCells count="18">
    <mergeCell ref="A292:A303"/>
    <mergeCell ref="A305:A316"/>
    <mergeCell ref="A318:A329"/>
    <mergeCell ref="A227:A238"/>
    <mergeCell ref="A240:A251"/>
    <mergeCell ref="A253:A264"/>
    <mergeCell ref="A266:A277"/>
    <mergeCell ref="A279:A290"/>
    <mergeCell ref="A127:A149"/>
    <mergeCell ref="A151:A174"/>
    <mergeCell ref="A176:A199"/>
    <mergeCell ref="A201:A212"/>
    <mergeCell ref="A214:A225"/>
    <mergeCell ref="A2:A25"/>
    <mergeCell ref="A27:A50"/>
    <mergeCell ref="A52:A81"/>
    <mergeCell ref="A83:A100"/>
    <mergeCell ref="A102:A125"/>
  </mergeCells>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154"/>
  <sheetViews>
    <sheetView zoomScaleNormal="100" workbookViewId="0">
      <pane ySplit="1" topLeftCell="A2" activePane="bottomLeft" state="frozen"/>
      <selection pane="bottomLeft" activeCell="H1" sqref="H1"/>
    </sheetView>
  </sheetViews>
  <sheetFormatPr defaultColWidth="9.109375" defaultRowHeight="13.2" x14ac:dyDescent="0.25"/>
  <cols>
    <col min="1" max="1" width="9.109375" style="3"/>
    <col min="2" max="2" width="18.109375" style="3" customWidth="1"/>
    <col min="3" max="3" width="18.6640625" style="3" customWidth="1"/>
    <col min="4" max="4" width="9.109375" style="6"/>
    <col min="5" max="5" width="9.109375" style="3"/>
    <col min="6" max="6" width="20.44140625" style="3" customWidth="1"/>
    <col min="7" max="7" width="25.6640625" style="3" customWidth="1"/>
    <col min="8" max="8" width="16.33203125" style="3" customWidth="1"/>
    <col min="9" max="13" width="9.109375" style="3"/>
    <col min="14" max="14" width="15.44140625" style="3" customWidth="1"/>
    <col min="15" max="16" width="9.109375" style="3"/>
    <col min="17" max="17" width="20.44140625" style="3" customWidth="1"/>
    <col min="18" max="18" width="25.6640625" style="3" customWidth="1"/>
    <col min="19" max="19" width="16.33203125" style="3" customWidth="1"/>
    <col min="20" max="16384" width="9.109375" style="3"/>
  </cols>
  <sheetData>
    <row r="1" spans="1:32" s="5" customFormat="1" ht="18.75" customHeight="1" x14ac:dyDescent="0.3">
      <c r="A1" s="5" t="s">
        <v>57</v>
      </c>
      <c r="B1" s="6" t="s">
        <v>58</v>
      </c>
      <c r="C1" s="6" t="s">
        <v>59</v>
      </c>
      <c r="D1" s="6" t="s">
        <v>1</v>
      </c>
      <c r="E1" s="5" t="s">
        <v>2</v>
      </c>
      <c r="F1" s="5" t="s">
        <v>3</v>
      </c>
      <c r="G1" s="5" t="s">
        <v>4</v>
      </c>
      <c r="H1" s="6" t="s">
        <v>60</v>
      </c>
      <c r="I1" s="6" t="s">
        <v>61</v>
      </c>
      <c r="J1" s="6" t="s">
        <v>62</v>
      </c>
      <c r="K1" s="6" t="s">
        <v>63</v>
      </c>
      <c r="L1" s="6"/>
      <c r="M1" s="5" t="s">
        <v>64</v>
      </c>
      <c r="N1" s="6" t="s">
        <v>59</v>
      </c>
      <c r="O1" s="6" t="s">
        <v>1</v>
      </c>
      <c r="P1" s="5" t="s">
        <v>2</v>
      </c>
      <c r="Q1" s="5" t="s">
        <v>3</v>
      </c>
      <c r="R1" s="5" t="s">
        <v>4</v>
      </c>
      <c r="S1" s="6" t="s">
        <v>60</v>
      </c>
      <c r="T1" s="6" t="s">
        <v>61</v>
      </c>
      <c r="U1" s="6" t="s">
        <v>62</v>
      </c>
      <c r="V1" s="6" t="s">
        <v>63</v>
      </c>
      <c r="W1" s="5" t="s">
        <v>65</v>
      </c>
      <c r="X1" s="5" t="s">
        <v>66</v>
      </c>
      <c r="Y1" s="5" t="s">
        <v>67</v>
      </c>
      <c r="Z1" s="5" t="s">
        <v>68</v>
      </c>
      <c r="AA1" s="5" t="s">
        <v>69</v>
      </c>
      <c r="AB1" s="5" t="s">
        <v>70</v>
      </c>
      <c r="AC1" s="5" t="s">
        <v>71</v>
      </c>
      <c r="AD1" s="5" t="s">
        <v>72</v>
      </c>
      <c r="AE1" s="5" t="s">
        <v>73</v>
      </c>
      <c r="AF1" s="5" t="s">
        <v>74</v>
      </c>
    </row>
    <row r="2" spans="1:32" ht="12.75" customHeight="1" x14ac:dyDescent="0.25">
      <c r="B2" s="1" t="s">
        <v>75</v>
      </c>
      <c r="C2" s="2" t="s">
        <v>76</v>
      </c>
      <c r="D2" s="6" t="s">
        <v>10</v>
      </c>
      <c r="E2" s="9">
        <v>1.0074000000000001</v>
      </c>
      <c r="F2" s="9">
        <v>18.681398275377699</v>
      </c>
      <c r="G2" s="11">
        <v>185.441714069662</v>
      </c>
      <c r="H2" s="11"/>
      <c r="I2" s="11"/>
      <c r="J2" s="11"/>
      <c r="K2" s="11"/>
      <c r="L2" s="11"/>
      <c r="N2" s="2" t="s">
        <v>76</v>
      </c>
      <c r="O2" s="6" t="s">
        <v>10</v>
      </c>
      <c r="P2" s="9">
        <v>1.0081</v>
      </c>
      <c r="Q2" s="9">
        <v>26.957248719363701</v>
      </c>
      <c r="R2" s="11">
        <v>267.40649458747799</v>
      </c>
      <c r="T2" s="3">
        <v>35.56</v>
      </c>
      <c r="U2" s="3">
        <v>2.6</v>
      </c>
      <c r="V2" s="3">
        <v>20.18</v>
      </c>
      <c r="W2" s="12" t="str">
        <f>IF(NOT(ISNUMBER(G2)),"",IF(G2&lt;Bands!$B$4,"Low",IF(G2&lt;Bands!$B$5,"Medium",IF(G2&lt;Bands!$B$6,"High","Very high"))))</f>
        <v>Low</v>
      </c>
      <c r="X2" s="12" t="str">
        <f>IF(NOT(ISNUMBER(R2)),"",IF(R2&lt;Bands!$B$4,"Low",IF(R2&lt;Bands!$B$5,"Medium",IF(R2&lt;Bands!$B$6,"High","Very high"))))</f>
        <v>Low</v>
      </c>
      <c r="Z2" s="12" t="str">
        <f>IF(NOT(ISNUMBER(U2)),"",IF(U2&lt;Bands!$B$18,"Light",IF(U2&lt;Bands!$B$19,"Medium","Dark")))</f>
        <v>Light</v>
      </c>
      <c r="AA2" s="12" t="str">
        <f>IF(W2="","",IFERROR(INDEX(Bands!$D$3:$D$6,MATCH(W2,Bands!$A$3:$A$6,0)),""))</f>
        <v>Pale yellow to light golden, even colour, no brown spots</v>
      </c>
      <c r="AB2" s="12" t="str">
        <f>IF(W2="","",IFERROR(INDEX(Bands!$J$3:$J$6,MATCH(W2,Bands!$A$3:$A$6,0)),""))</f>
        <v>Not deep golden-brown or reddish-brown (those match higher values). Avoid black or burnt chips.</v>
      </c>
      <c r="AC2" s="12" t="str">
        <f>IF(X2="","",IFERROR(INDEX(Bands!$D$3:$D$6,MATCH(X2,Bands!$A$3:$A$6,0)),""))</f>
        <v>Pale yellow to light golden, even colour, no brown spots</v>
      </c>
      <c r="AD2" s="12" t="str">
        <f>IF(X2="","",IFERROR(INDEX(Bands!$J$3:$J$6,MATCH(X2,Bands!$A$3:$A$6,0)),""))</f>
        <v>Not deep golden-brown or reddish-brown (those match higher values). Avoid black or burnt chips.</v>
      </c>
      <c r="AE2" s="12" t="str">
        <f>IF(W2="","","Ch4a_"&amp;TEXT(COUNT($G$2:G2),"000")&amp;"_"&amp;SUBSTITUTE(W2," ","-")&amp;"_"&amp;TEXT(G2,"0")&amp;".jpg")</f>
        <v>Ch4a_001_Low_185.jpg</v>
      </c>
      <c r="AF2" s="12" t="str">
        <f>IF(X2="","","Ch4b_"&amp;TEXT(COUNT($R$2:R2),"000")&amp;"_"&amp;SUBSTITUTE(X2," ","-")&amp;"_"&amp;TEXT(R2,"0")&amp;".jpg")</f>
        <v>Ch4b_001_Low_267.jpg</v>
      </c>
    </row>
    <row r="3" spans="1:32" ht="12.75" customHeight="1" x14ac:dyDescent="0.25">
      <c r="B3" s="1"/>
      <c r="C3" s="1"/>
      <c r="D3" s="6" t="s">
        <v>11</v>
      </c>
      <c r="E3" s="9">
        <v>1.0028999999999999</v>
      </c>
      <c r="F3" s="9">
        <v>36.943952181215899</v>
      </c>
      <c r="G3" s="11">
        <v>368.37124520107602</v>
      </c>
      <c r="H3" s="11"/>
      <c r="I3" s="11"/>
      <c r="J3" s="11"/>
      <c r="K3" s="11"/>
      <c r="L3" s="11"/>
      <c r="N3" s="2"/>
      <c r="O3" s="6" t="s">
        <v>11</v>
      </c>
      <c r="P3" s="9">
        <v>0.9849</v>
      </c>
      <c r="Q3" s="9">
        <v>16.4403152949244</v>
      </c>
      <c r="R3" s="11">
        <v>166.92370083180401</v>
      </c>
      <c r="W3" s="12" t="str">
        <f>IF(NOT(ISNUMBER(G3)),"",IF(G3&lt;Bands!$B$4,"Low",IF(G3&lt;Bands!$B$5,"Medium",IF(G3&lt;Bands!$B$6,"High","Very high"))))</f>
        <v>Low</v>
      </c>
      <c r="X3" s="12" t="str">
        <f>IF(NOT(ISNUMBER(R3)),"",IF(R3&lt;Bands!$B$4,"Low",IF(R3&lt;Bands!$B$5,"Medium",IF(R3&lt;Bands!$B$6,"High","Very high"))))</f>
        <v>Low</v>
      </c>
      <c r="AA3" s="12" t="str">
        <f>IF(W3="","",IFERROR(INDEX(Bands!$D$3:$D$6,MATCH(W3,Bands!$A$3:$A$6,0)),""))</f>
        <v>Pale yellow to light golden, even colour, no brown spots</v>
      </c>
      <c r="AB3" s="12" t="str">
        <f>IF(W3="","",IFERROR(INDEX(Bands!$J$3:$J$6,MATCH(W3,Bands!$A$3:$A$6,0)),""))</f>
        <v>Not deep golden-brown or reddish-brown (those match higher values). Avoid black or burnt chips.</v>
      </c>
      <c r="AC3" s="12" t="str">
        <f>IF(X3="","",IFERROR(INDEX(Bands!$D$3:$D$6,MATCH(X3,Bands!$A$3:$A$6,0)),""))</f>
        <v>Pale yellow to light golden, even colour, no brown spots</v>
      </c>
      <c r="AD3" s="12" t="str">
        <f>IF(X3="","",IFERROR(INDEX(Bands!$J$3:$J$6,MATCH(X3,Bands!$A$3:$A$6,0)),""))</f>
        <v>Not deep golden-brown or reddish-brown (those match higher values). Avoid black or burnt chips.</v>
      </c>
      <c r="AE3" s="12" t="str">
        <f>IF(W3="","","Ch4a_"&amp;TEXT(COUNT($G$2:G3),"000")&amp;"_"&amp;SUBSTITUTE(W3," ","-")&amp;"_"&amp;TEXT(G3,"0")&amp;".jpg")</f>
        <v>Ch4a_002_Low_368.jpg</v>
      </c>
      <c r="AF3" s="12" t="str">
        <f>IF(X3="","","Ch4b_"&amp;TEXT(COUNT($R$2:R3),"000")&amp;"_"&amp;SUBSTITUTE(X3," ","-")&amp;"_"&amp;TEXT(R3,"0")&amp;".jpg")</f>
        <v>Ch4b_002_Low_167.jpg</v>
      </c>
    </row>
    <row r="4" spans="1:32" ht="12.75" customHeight="1" x14ac:dyDescent="0.25">
      <c r="B4" s="1"/>
      <c r="C4" s="1"/>
      <c r="D4" s="6" t="s">
        <v>12</v>
      </c>
      <c r="E4" s="9">
        <v>1.0051000000000001</v>
      </c>
      <c r="F4" s="9">
        <v>32.973868430535902</v>
      </c>
      <c r="G4" s="11">
        <v>328.06555000035701</v>
      </c>
      <c r="H4" s="11"/>
      <c r="I4" s="11"/>
      <c r="J4" s="11"/>
      <c r="K4" s="11"/>
      <c r="L4" s="11"/>
      <c r="N4" s="2"/>
      <c r="O4" s="6" t="s">
        <v>12</v>
      </c>
      <c r="P4" s="9">
        <v>0.98150000000000004</v>
      </c>
      <c r="Q4" s="9">
        <v>26.610384200281398</v>
      </c>
      <c r="R4" s="11">
        <v>271.11955374713602</v>
      </c>
      <c r="W4" s="12" t="str">
        <f>IF(NOT(ISNUMBER(G4)),"",IF(G4&lt;Bands!$B$4,"Low",IF(G4&lt;Bands!$B$5,"Medium",IF(G4&lt;Bands!$B$6,"High","Very high"))))</f>
        <v>Low</v>
      </c>
      <c r="X4" s="12" t="str">
        <f>IF(NOT(ISNUMBER(R4)),"",IF(R4&lt;Bands!$B$4,"Low",IF(R4&lt;Bands!$B$5,"Medium",IF(R4&lt;Bands!$B$6,"High","Very high"))))</f>
        <v>Low</v>
      </c>
      <c r="AA4" s="12" t="str">
        <f>IF(W4="","",IFERROR(INDEX(Bands!$D$3:$D$6,MATCH(W4,Bands!$A$3:$A$6,0)),""))</f>
        <v>Pale yellow to light golden, even colour, no brown spots</v>
      </c>
      <c r="AB4" s="12" t="str">
        <f>IF(W4="","",IFERROR(INDEX(Bands!$J$3:$J$6,MATCH(W4,Bands!$A$3:$A$6,0)),""))</f>
        <v>Not deep golden-brown or reddish-brown (those match higher values). Avoid black or burnt chips.</v>
      </c>
      <c r="AC4" s="12" t="str">
        <f>IF(X4="","",IFERROR(INDEX(Bands!$D$3:$D$6,MATCH(X4,Bands!$A$3:$A$6,0)),""))</f>
        <v>Pale yellow to light golden, even colour, no brown spots</v>
      </c>
      <c r="AD4" s="12" t="str">
        <f>IF(X4="","",IFERROR(INDEX(Bands!$J$3:$J$6,MATCH(X4,Bands!$A$3:$A$6,0)),""))</f>
        <v>Not deep golden-brown or reddish-brown (those match higher values). Avoid black or burnt chips.</v>
      </c>
      <c r="AE4" s="12" t="str">
        <f>IF(W4="","","Ch4a_"&amp;TEXT(COUNT($G$2:G4),"000")&amp;"_"&amp;SUBSTITUTE(W4," ","-")&amp;"_"&amp;TEXT(G4,"0")&amp;".jpg")</f>
        <v>Ch4a_003_Low_328.jpg</v>
      </c>
      <c r="AF4" s="12" t="str">
        <f>IF(X4="","","Ch4b_"&amp;TEXT(COUNT($R$2:R4),"000")&amp;"_"&amp;SUBSTITUTE(X4," ","-")&amp;"_"&amp;TEXT(R4,"0")&amp;".jpg")</f>
        <v>Ch4b_003_Low_271.jpg</v>
      </c>
    </row>
    <row r="5" spans="1:32" ht="12.75" customHeight="1" x14ac:dyDescent="0.25">
      <c r="B5" s="1"/>
      <c r="C5" s="1"/>
      <c r="D5" s="6" t="s">
        <v>13</v>
      </c>
      <c r="E5" s="9">
        <v>1.004</v>
      </c>
      <c r="F5" s="9">
        <v>27.252087123341799</v>
      </c>
      <c r="G5" s="11">
        <v>271.435130710576</v>
      </c>
      <c r="H5" s="11"/>
      <c r="I5" s="11"/>
      <c r="J5" s="11"/>
      <c r="K5" s="11"/>
      <c r="L5" s="11"/>
      <c r="N5" s="2"/>
      <c r="O5" s="6" t="s">
        <v>13</v>
      </c>
      <c r="P5" s="9">
        <v>1.0190999999999999</v>
      </c>
      <c r="Q5" s="9">
        <v>52.4098590098207</v>
      </c>
      <c r="R5" s="11">
        <v>514.275920025716</v>
      </c>
      <c r="T5" s="3">
        <v>35.11</v>
      </c>
      <c r="U5" s="3">
        <v>3.71</v>
      </c>
      <c r="V5" s="3">
        <v>20.48</v>
      </c>
      <c r="W5" s="12" t="str">
        <f>IF(NOT(ISNUMBER(G5)),"",IF(G5&lt;Bands!$B$4,"Low",IF(G5&lt;Bands!$B$5,"Medium",IF(G5&lt;Bands!$B$6,"High","Very high"))))</f>
        <v>Low</v>
      </c>
      <c r="X5" s="12" t="str">
        <f>IF(NOT(ISNUMBER(R5)),"",IF(R5&lt;Bands!$B$4,"Low",IF(R5&lt;Bands!$B$5,"Medium",IF(R5&lt;Bands!$B$6,"High","Very high"))))</f>
        <v>Medium</v>
      </c>
      <c r="Z5" s="12" t="str">
        <f>IF(NOT(ISNUMBER(U5)),"",IF(U5&lt;Bands!$B$18,"Light",IF(U5&lt;Bands!$B$19,"Medium","Dark")))</f>
        <v>Medium</v>
      </c>
      <c r="AA5" s="12" t="str">
        <f>IF(W5="","",IFERROR(INDEX(Bands!$D$3:$D$6,MATCH(W5,Bands!$A$3:$A$6,0)),""))</f>
        <v>Pale yellow to light golden, even colour, no brown spots</v>
      </c>
      <c r="AB5" s="12" t="str">
        <f>IF(W5="","",IFERROR(INDEX(Bands!$J$3:$J$6,MATCH(W5,Bands!$A$3:$A$6,0)),""))</f>
        <v>Not deep golden-brown or reddish-brown (those match higher values). Avoid black or burnt chips.</v>
      </c>
      <c r="AC5" s="12" t="str">
        <f>IF(X5="","",IFERROR(INDEX(Bands!$D$3:$D$6,MATCH(X5,Bands!$A$3:$A$6,0)),""))</f>
        <v>Golden yellow with light brown at some edges or small spots</v>
      </c>
      <c r="AD5" s="12" t="str">
        <f>IF(X5="","",IFERROR(INDEX(Bands!$J$3:$J$6,MATCH(X5,Bands!$A$3:$A$6,0)),""))</f>
        <v>Not pale yellow (matches a low value) and not deep reddish-brown (matches a high value). Avoid black or burnt chips.</v>
      </c>
      <c r="AE5" s="12" t="str">
        <f>IF(W5="","","Ch4a_"&amp;TEXT(COUNT($G$2:G5),"000")&amp;"_"&amp;SUBSTITUTE(W5," ","-")&amp;"_"&amp;TEXT(G5,"0")&amp;".jpg")</f>
        <v>Ch4a_004_Low_271.jpg</v>
      </c>
      <c r="AF5" s="12" t="str">
        <f>IF(X5="","","Ch4b_"&amp;TEXT(COUNT($R$2:R5),"000")&amp;"_"&amp;SUBSTITUTE(X5," ","-")&amp;"_"&amp;TEXT(R5,"0")&amp;".jpg")</f>
        <v>Ch4b_004_Medium_514.jpg</v>
      </c>
    </row>
    <row r="6" spans="1:32" ht="12.75" customHeight="1" x14ac:dyDescent="0.25">
      <c r="B6" s="1"/>
      <c r="C6" s="1"/>
      <c r="D6" s="6" t="s">
        <v>14</v>
      </c>
      <c r="E6" s="9">
        <v>1.0084</v>
      </c>
      <c r="F6" s="9">
        <v>30.932286897885</v>
      </c>
      <c r="G6" s="11">
        <v>306.746200891363</v>
      </c>
      <c r="H6" s="11"/>
      <c r="I6" s="11"/>
      <c r="J6" s="11"/>
      <c r="K6" s="11"/>
      <c r="L6" s="11"/>
      <c r="N6" s="2"/>
      <c r="O6" s="6" t="s">
        <v>14</v>
      </c>
      <c r="P6" s="9">
        <v>1.0166999999999999</v>
      </c>
      <c r="Q6" s="9">
        <v>19.479317795967798</v>
      </c>
      <c r="R6" s="11">
        <v>191.59356541721101</v>
      </c>
      <c r="T6" s="3">
        <v>33.619999999999997</v>
      </c>
      <c r="U6" s="3">
        <v>2.5</v>
      </c>
      <c r="V6" s="3">
        <v>18.149999999999999</v>
      </c>
      <c r="W6" s="12" t="str">
        <f>IF(NOT(ISNUMBER(G6)),"",IF(G6&lt;Bands!$B$4,"Low",IF(G6&lt;Bands!$B$5,"Medium",IF(G6&lt;Bands!$B$6,"High","Very high"))))</f>
        <v>Low</v>
      </c>
      <c r="X6" s="12" t="str">
        <f>IF(NOT(ISNUMBER(R6)),"",IF(R6&lt;Bands!$B$4,"Low",IF(R6&lt;Bands!$B$5,"Medium",IF(R6&lt;Bands!$B$6,"High","Very high"))))</f>
        <v>Low</v>
      </c>
      <c r="Z6" s="12" t="str">
        <f>IF(NOT(ISNUMBER(U6)),"",IF(U6&lt;Bands!$B$18,"Light",IF(U6&lt;Bands!$B$19,"Medium","Dark")))</f>
        <v>Light</v>
      </c>
      <c r="AA6" s="12" t="str">
        <f>IF(W6="","",IFERROR(INDEX(Bands!$D$3:$D$6,MATCH(W6,Bands!$A$3:$A$6,0)),""))</f>
        <v>Pale yellow to light golden, even colour, no brown spots</v>
      </c>
      <c r="AB6" s="12" t="str">
        <f>IF(W6="","",IFERROR(INDEX(Bands!$J$3:$J$6,MATCH(W6,Bands!$A$3:$A$6,0)),""))</f>
        <v>Not deep golden-brown or reddish-brown (those match higher values). Avoid black or burnt chips.</v>
      </c>
      <c r="AC6" s="12" t="str">
        <f>IF(X6="","",IFERROR(INDEX(Bands!$D$3:$D$6,MATCH(X6,Bands!$A$3:$A$6,0)),""))</f>
        <v>Pale yellow to light golden, even colour, no brown spots</v>
      </c>
      <c r="AD6" s="12" t="str">
        <f>IF(X6="","",IFERROR(INDEX(Bands!$J$3:$J$6,MATCH(X6,Bands!$A$3:$A$6,0)),""))</f>
        <v>Not deep golden-brown or reddish-brown (those match higher values). Avoid black or burnt chips.</v>
      </c>
      <c r="AE6" s="12" t="str">
        <f>IF(W6="","","Ch4a_"&amp;TEXT(COUNT($G$2:G6),"000")&amp;"_"&amp;SUBSTITUTE(W6," ","-")&amp;"_"&amp;TEXT(G6,"0")&amp;".jpg")</f>
        <v>Ch4a_005_Low_307.jpg</v>
      </c>
      <c r="AF6" s="12" t="str">
        <f>IF(X6="","","Ch4b_"&amp;TEXT(COUNT($R$2:R6),"000")&amp;"_"&amp;SUBSTITUTE(X6," ","-")&amp;"_"&amp;TEXT(R6,"0")&amp;".jpg")</f>
        <v>Ch4b_005_Low_192.jpg</v>
      </c>
    </row>
    <row r="7" spans="1:32" ht="12.75" customHeight="1" x14ac:dyDescent="0.25">
      <c r="B7" s="1"/>
      <c r="C7" s="1"/>
      <c r="D7" s="6" t="s">
        <v>15</v>
      </c>
      <c r="E7" s="9">
        <v>1.0008999999999999</v>
      </c>
      <c r="F7" s="9">
        <v>36.577105295326</v>
      </c>
      <c r="G7" s="11">
        <v>365.44215501374799</v>
      </c>
      <c r="H7" s="11"/>
      <c r="I7" s="11"/>
      <c r="J7" s="11"/>
      <c r="K7" s="11"/>
      <c r="L7" s="11"/>
      <c r="N7" s="2"/>
      <c r="O7" s="6" t="s">
        <v>15</v>
      </c>
      <c r="P7" s="9">
        <v>0.98819999999999997</v>
      </c>
      <c r="Q7" s="9">
        <v>17.295231267395199</v>
      </c>
      <c r="R7" s="11">
        <v>175.017519402906</v>
      </c>
      <c r="W7" s="12" t="str">
        <f>IF(NOT(ISNUMBER(G7)),"",IF(G7&lt;Bands!$B$4,"Low",IF(G7&lt;Bands!$B$5,"Medium",IF(G7&lt;Bands!$B$6,"High","Very high"))))</f>
        <v>Low</v>
      </c>
      <c r="X7" s="12" t="str">
        <f>IF(NOT(ISNUMBER(R7)),"",IF(R7&lt;Bands!$B$4,"Low",IF(R7&lt;Bands!$B$5,"Medium",IF(R7&lt;Bands!$B$6,"High","Very high"))))</f>
        <v>Low</v>
      </c>
      <c r="AA7" s="12" t="str">
        <f>IF(W7="","",IFERROR(INDEX(Bands!$D$3:$D$6,MATCH(W7,Bands!$A$3:$A$6,0)),""))</f>
        <v>Pale yellow to light golden, even colour, no brown spots</v>
      </c>
      <c r="AB7" s="12" t="str">
        <f>IF(W7="","",IFERROR(INDEX(Bands!$J$3:$J$6,MATCH(W7,Bands!$A$3:$A$6,0)),""))</f>
        <v>Not deep golden-brown or reddish-brown (those match higher values). Avoid black or burnt chips.</v>
      </c>
      <c r="AC7" s="12" t="str">
        <f>IF(X7="","",IFERROR(INDEX(Bands!$D$3:$D$6,MATCH(X7,Bands!$A$3:$A$6,0)),""))</f>
        <v>Pale yellow to light golden, even colour, no brown spots</v>
      </c>
      <c r="AD7" s="12" t="str">
        <f>IF(X7="","",IFERROR(INDEX(Bands!$J$3:$J$6,MATCH(X7,Bands!$A$3:$A$6,0)),""))</f>
        <v>Not deep golden-brown or reddish-brown (those match higher values). Avoid black or burnt chips.</v>
      </c>
      <c r="AE7" s="12" t="str">
        <f>IF(W7="","","Ch4a_"&amp;TEXT(COUNT($G$2:G7),"000")&amp;"_"&amp;SUBSTITUTE(W7," ","-")&amp;"_"&amp;TEXT(G7,"0")&amp;".jpg")</f>
        <v>Ch4a_006_Low_365.jpg</v>
      </c>
      <c r="AF7" s="12" t="str">
        <f>IF(X7="","","Ch4b_"&amp;TEXT(COUNT($R$2:R7),"000")&amp;"_"&amp;SUBSTITUTE(X7," ","-")&amp;"_"&amp;TEXT(R7,"0")&amp;".jpg")</f>
        <v>Ch4b_006_Low_175.jpg</v>
      </c>
    </row>
    <row r="8" spans="1:32" ht="12.75" customHeight="1" x14ac:dyDescent="0.25">
      <c r="E8" s="9"/>
      <c r="F8" s="9"/>
      <c r="G8" s="11"/>
      <c r="H8" s="11"/>
      <c r="I8" s="11"/>
      <c r="J8" s="11"/>
      <c r="K8" s="11"/>
      <c r="L8" s="11"/>
    </row>
    <row r="9" spans="1:32" ht="12.75" customHeight="1" x14ac:dyDescent="0.25">
      <c r="B9" s="1" t="s">
        <v>77</v>
      </c>
      <c r="C9" s="2" t="s">
        <v>78</v>
      </c>
      <c r="D9" s="6" t="s">
        <v>10</v>
      </c>
      <c r="E9" s="9">
        <v>1.0038</v>
      </c>
      <c r="F9" s="9">
        <v>45.194914000798498</v>
      </c>
      <c r="G9" s="11">
        <v>450.23823471606403</v>
      </c>
      <c r="H9" s="11"/>
      <c r="I9" s="11"/>
      <c r="J9" s="11"/>
      <c r="K9" s="11"/>
      <c r="L9" s="11"/>
      <c r="N9" s="2" t="s">
        <v>79</v>
      </c>
      <c r="O9" s="6" t="s">
        <v>10</v>
      </c>
      <c r="P9" s="9">
        <v>0.99870000000000003</v>
      </c>
      <c r="Q9" s="9">
        <v>25.900299958720002</v>
      </c>
      <c r="R9" s="11">
        <v>259.340141771503</v>
      </c>
      <c r="T9" s="3">
        <v>32.51</v>
      </c>
      <c r="U9" s="3">
        <v>3.15</v>
      </c>
      <c r="V9" s="3">
        <v>18.829999999999998</v>
      </c>
      <c r="W9" s="12" t="str">
        <f>IF(NOT(ISNUMBER(G9)),"",IF(G9&lt;Bands!$B$4,"Low",IF(G9&lt;Bands!$B$5,"Medium",IF(G9&lt;Bands!$B$6,"High","Very high"))))</f>
        <v>Low</v>
      </c>
      <c r="X9" s="12" t="str">
        <f>IF(NOT(ISNUMBER(R9)),"",IF(R9&lt;Bands!$B$4,"Low",IF(R9&lt;Bands!$B$5,"Medium",IF(R9&lt;Bands!$B$6,"High","Very high"))))</f>
        <v>Low</v>
      </c>
      <c r="Z9" s="12" t="str">
        <f>IF(NOT(ISNUMBER(U9)),"",IF(U9&lt;Bands!$B$18,"Light",IF(U9&lt;Bands!$B$19,"Medium","Dark")))</f>
        <v>Medium</v>
      </c>
      <c r="AA9" s="12" t="str">
        <f>IF(W9="","",IFERROR(INDEX(Bands!$D$3:$D$6,MATCH(W9,Bands!$A$3:$A$6,0)),""))</f>
        <v>Pale yellow to light golden, even colour, no brown spots</v>
      </c>
      <c r="AB9" s="12" t="str">
        <f>IF(W9="","",IFERROR(INDEX(Bands!$J$3:$J$6,MATCH(W9,Bands!$A$3:$A$6,0)),""))</f>
        <v>Not deep golden-brown or reddish-brown (those match higher values). Avoid black or burnt chips.</v>
      </c>
      <c r="AC9" s="12" t="str">
        <f>IF(X9="","",IFERROR(INDEX(Bands!$D$3:$D$6,MATCH(X9,Bands!$A$3:$A$6,0)),""))</f>
        <v>Pale yellow to light golden, even colour, no brown spots</v>
      </c>
      <c r="AD9" s="12" t="str">
        <f>IF(X9="","",IFERROR(INDEX(Bands!$J$3:$J$6,MATCH(X9,Bands!$A$3:$A$6,0)),""))</f>
        <v>Not deep golden-brown or reddish-brown (those match higher values). Avoid black or burnt chips.</v>
      </c>
      <c r="AE9" s="12" t="str">
        <f>IF(W9="","","Ch4a_"&amp;TEXT(COUNT($G$2:G9),"000")&amp;"_"&amp;SUBSTITUTE(W9," ","-")&amp;"_"&amp;TEXT(G9,"0")&amp;".jpg")</f>
        <v>Ch4a_007_Low_450.jpg</v>
      </c>
      <c r="AF9" s="12" t="str">
        <f>IF(X9="","","Ch4b_"&amp;TEXT(COUNT($R$2:R9),"000")&amp;"_"&amp;SUBSTITUTE(X9," ","-")&amp;"_"&amp;TEXT(R9,"0")&amp;".jpg")</f>
        <v>Ch4b_007_Low_259.jpg</v>
      </c>
    </row>
    <row r="10" spans="1:32" ht="12.75" customHeight="1" x14ac:dyDescent="0.25">
      <c r="B10" s="1"/>
      <c r="C10" s="1"/>
      <c r="D10" s="6" t="s">
        <v>11</v>
      </c>
      <c r="E10" s="9">
        <v>1.0071000000000001</v>
      </c>
      <c r="F10" s="9">
        <v>33.488203888844801</v>
      </c>
      <c r="G10" s="11">
        <v>332.52113880294701</v>
      </c>
      <c r="H10" s="11"/>
      <c r="N10" s="2"/>
      <c r="O10" s="6" t="s">
        <v>11</v>
      </c>
      <c r="P10" s="9">
        <v>1.0269999999999999</v>
      </c>
      <c r="Q10" s="9">
        <v>28.614381018266599</v>
      </c>
      <c r="R10" s="11">
        <v>278.62104204738699</v>
      </c>
      <c r="W10" s="12" t="str">
        <f>IF(NOT(ISNUMBER(G10)),"",IF(G10&lt;Bands!$B$4,"Low",IF(G10&lt;Bands!$B$5,"Medium",IF(G10&lt;Bands!$B$6,"High","Very high"))))</f>
        <v>Low</v>
      </c>
      <c r="X10" s="12" t="str">
        <f>IF(NOT(ISNUMBER(R10)),"",IF(R10&lt;Bands!$B$4,"Low",IF(R10&lt;Bands!$B$5,"Medium",IF(R10&lt;Bands!$B$6,"High","Very high"))))</f>
        <v>Low</v>
      </c>
      <c r="AA10" s="12" t="str">
        <f>IF(W10="","",IFERROR(INDEX(Bands!$D$3:$D$6,MATCH(W10,Bands!$A$3:$A$6,0)),""))</f>
        <v>Pale yellow to light golden, even colour, no brown spots</v>
      </c>
      <c r="AB10" s="12" t="str">
        <f>IF(W10="","",IFERROR(INDEX(Bands!$J$3:$J$6,MATCH(W10,Bands!$A$3:$A$6,0)),""))</f>
        <v>Not deep golden-brown or reddish-brown (those match higher values). Avoid black or burnt chips.</v>
      </c>
      <c r="AC10" s="12" t="str">
        <f>IF(X10="","",IFERROR(INDEX(Bands!$D$3:$D$6,MATCH(X10,Bands!$A$3:$A$6,0)),""))</f>
        <v>Pale yellow to light golden, even colour, no brown spots</v>
      </c>
      <c r="AD10" s="12" t="str">
        <f>IF(X10="","",IFERROR(INDEX(Bands!$J$3:$J$6,MATCH(X10,Bands!$A$3:$A$6,0)),""))</f>
        <v>Not deep golden-brown or reddish-brown (those match higher values). Avoid black or burnt chips.</v>
      </c>
      <c r="AE10" s="12" t="str">
        <f>IF(W10="","","Ch4a_"&amp;TEXT(COUNT($G$2:G10),"000")&amp;"_"&amp;SUBSTITUTE(W10," ","-")&amp;"_"&amp;TEXT(G10,"0")&amp;".jpg")</f>
        <v>Ch4a_008_Low_333.jpg</v>
      </c>
      <c r="AF10" s="12" t="str">
        <f>IF(X10="","","Ch4b_"&amp;TEXT(COUNT($R$2:R10),"000")&amp;"_"&amp;SUBSTITUTE(X10," ","-")&amp;"_"&amp;TEXT(R10,"0")&amp;".jpg")</f>
        <v>Ch4b_008_Low_279.jpg</v>
      </c>
    </row>
    <row r="11" spans="1:32" ht="12.75" customHeight="1" x14ac:dyDescent="0.25">
      <c r="B11" s="1"/>
      <c r="C11" s="1"/>
      <c r="D11" s="6" t="s">
        <v>12</v>
      </c>
      <c r="E11" s="9">
        <v>1.0087999999999999</v>
      </c>
      <c r="F11" s="9">
        <v>47.889940554341997</v>
      </c>
      <c r="G11" s="11">
        <v>474.72185323495199</v>
      </c>
      <c r="H11" s="11"/>
      <c r="I11" s="11"/>
      <c r="J11" s="11"/>
      <c r="K11" s="11"/>
      <c r="L11" s="11"/>
      <c r="N11" s="2"/>
      <c r="O11" s="6" t="s">
        <v>12</v>
      </c>
      <c r="P11" s="9">
        <v>1.0331999999999999</v>
      </c>
      <c r="Q11" s="9">
        <v>23.0158044660656</v>
      </c>
      <c r="R11" s="11">
        <v>222.76233513420101</v>
      </c>
      <c r="T11" s="3">
        <v>35.78</v>
      </c>
      <c r="U11" s="3">
        <v>2.5099999999999998</v>
      </c>
      <c r="V11" s="3">
        <v>19.8</v>
      </c>
      <c r="W11" s="12" t="str">
        <f>IF(NOT(ISNUMBER(G11)),"",IF(G11&lt;Bands!$B$4,"Low",IF(G11&lt;Bands!$B$5,"Medium",IF(G11&lt;Bands!$B$6,"High","Very high"))))</f>
        <v>Low</v>
      </c>
      <c r="X11" s="12" t="str">
        <f>IF(NOT(ISNUMBER(R11)),"",IF(R11&lt;Bands!$B$4,"Low",IF(R11&lt;Bands!$B$5,"Medium",IF(R11&lt;Bands!$B$6,"High","Very high"))))</f>
        <v>Low</v>
      </c>
      <c r="Z11" s="12" t="str">
        <f>IF(NOT(ISNUMBER(U11)),"",IF(U11&lt;Bands!$B$18,"Light",IF(U11&lt;Bands!$B$19,"Medium","Dark")))</f>
        <v>Light</v>
      </c>
      <c r="AA11" s="12" t="str">
        <f>IF(W11="","",IFERROR(INDEX(Bands!$D$3:$D$6,MATCH(W11,Bands!$A$3:$A$6,0)),""))</f>
        <v>Pale yellow to light golden, even colour, no brown spots</v>
      </c>
      <c r="AB11" s="12" t="str">
        <f>IF(W11="","",IFERROR(INDEX(Bands!$J$3:$J$6,MATCH(W11,Bands!$A$3:$A$6,0)),""))</f>
        <v>Not deep golden-brown or reddish-brown (those match higher values). Avoid black or burnt chips.</v>
      </c>
      <c r="AC11" s="12" t="str">
        <f>IF(X11="","",IFERROR(INDEX(Bands!$D$3:$D$6,MATCH(X11,Bands!$A$3:$A$6,0)),""))</f>
        <v>Pale yellow to light golden, even colour, no brown spots</v>
      </c>
      <c r="AD11" s="12" t="str">
        <f>IF(X11="","",IFERROR(INDEX(Bands!$J$3:$J$6,MATCH(X11,Bands!$A$3:$A$6,0)),""))</f>
        <v>Not deep golden-brown or reddish-brown (those match higher values). Avoid black or burnt chips.</v>
      </c>
      <c r="AE11" s="12" t="str">
        <f>IF(W11="","","Ch4a_"&amp;TEXT(COUNT($G$2:G11),"000")&amp;"_"&amp;SUBSTITUTE(W11," ","-")&amp;"_"&amp;TEXT(G11,"0")&amp;".jpg")</f>
        <v>Ch4a_009_Low_475.jpg</v>
      </c>
      <c r="AF11" s="12" t="str">
        <f>IF(X11="","","Ch4b_"&amp;TEXT(COUNT($R$2:R11),"000")&amp;"_"&amp;SUBSTITUTE(X11," ","-")&amp;"_"&amp;TEXT(R11,"0")&amp;".jpg")</f>
        <v>Ch4b_009_Low_223.jpg</v>
      </c>
    </row>
    <row r="12" spans="1:32" ht="12.75" customHeight="1" x14ac:dyDescent="0.25">
      <c r="B12" s="1"/>
      <c r="C12" s="1"/>
      <c r="D12" s="6" t="s">
        <v>13</v>
      </c>
      <c r="E12" s="9">
        <v>1.004</v>
      </c>
      <c r="F12" s="9">
        <v>44.471024470539298</v>
      </c>
      <c r="G12" s="11">
        <v>442.93849074242303</v>
      </c>
      <c r="H12" s="11"/>
      <c r="I12" s="11">
        <v>45.86</v>
      </c>
      <c r="J12" s="11">
        <v>3.05</v>
      </c>
      <c r="K12" s="11">
        <v>21.16</v>
      </c>
      <c r="L12" s="11"/>
      <c r="N12" s="2"/>
      <c r="O12" s="6" t="s">
        <v>13</v>
      </c>
      <c r="P12" s="9">
        <v>1.0324</v>
      </c>
      <c r="Q12" s="9">
        <v>92.611636847213404</v>
      </c>
      <c r="R12" s="11">
        <v>897.05188732287297</v>
      </c>
      <c r="W12" s="12" t="str">
        <f>IF(NOT(ISNUMBER(G12)),"",IF(G12&lt;Bands!$B$4,"Low",IF(G12&lt;Bands!$B$5,"Medium",IF(G12&lt;Bands!$B$6,"High","Very high"))))</f>
        <v>Low</v>
      </c>
      <c r="X12" s="12" t="str">
        <f>IF(NOT(ISNUMBER(R12)),"",IF(R12&lt;Bands!$B$4,"Low",IF(R12&lt;Bands!$B$5,"Medium",IF(R12&lt;Bands!$B$6,"High","Very high"))))</f>
        <v>Medium</v>
      </c>
      <c r="Y12" s="12" t="str">
        <f>IF(NOT(ISNUMBER(J12)),"",IF(J12&lt;Bands!$B$18,"Light",IF(J12&lt;Bands!$B$19,"Medium","Dark")))</f>
        <v>Medium</v>
      </c>
      <c r="AA12" s="12" t="str">
        <f>IF(W12="","",IFERROR(INDEX(Bands!$D$3:$D$6,MATCH(W12,Bands!$A$3:$A$6,0)),""))</f>
        <v>Pale yellow to light golden, even colour, no brown spots</v>
      </c>
      <c r="AB12" s="12" t="str">
        <f>IF(W12="","",IFERROR(INDEX(Bands!$J$3:$J$6,MATCH(W12,Bands!$A$3:$A$6,0)),""))</f>
        <v>Not deep golden-brown or reddish-brown (those match higher values). Avoid black or burnt chips.</v>
      </c>
      <c r="AC12" s="12" t="str">
        <f>IF(X12="","",IFERROR(INDEX(Bands!$D$3:$D$6,MATCH(X12,Bands!$A$3:$A$6,0)),""))</f>
        <v>Golden yellow with light brown at some edges or small spots</v>
      </c>
      <c r="AD12" s="12" t="str">
        <f>IF(X12="","",IFERROR(INDEX(Bands!$J$3:$J$6,MATCH(X12,Bands!$A$3:$A$6,0)),""))</f>
        <v>Not pale yellow (matches a low value) and not deep reddish-brown (matches a high value). Avoid black or burnt chips.</v>
      </c>
      <c r="AE12" s="12" t="str">
        <f>IF(W12="","","Ch4a_"&amp;TEXT(COUNT($G$2:G12),"000")&amp;"_"&amp;SUBSTITUTE(W12," ","-")&amp;"_"&amp;TEXT(G12,"0")&amp;".jpg")</f>
        <v>Ch4a_010_Low_443.jpg</v>
      </c>
      <c r="AF12" s="12" t="str">
        <f>IF(X12="","","Ch4b_"&amp;TEXT(COUNT($R$2:R12),"000")&amp;"_"&amp;SUBSTITUTE(X12," ","-")&amp;"_"&amp;TEXT(R12,"0")&amp;".jpg")</f>
        <v>Ch4b_010_Medium_897.jpg</v>
      </c>
    </row>
    <row r="13" spans="1:32" ht="12.75" customHeight="1" x14ac:dyDescent="0.25">
      <c r="B13" s="1"/>
      <c r="C13" s="1"/>
      <c r="D13" s="6" t="s">
        <v>14</v>
      </c>
      <c r="E13" s="9">
        <v>1.0055000000000001</v>
      </c>
      <c r="F13" s="9">
        <v>41.165841051353603</v>
      </c>
      <c r="G13" s="11">
        <v>409.40667380759402</v>
      </c>
      <c r="H13" s="11"/>
      <c r="I13" s="11">
        <v>34.840000000000003</v>
      </c>
      <c r="J13" s="11">
        <v>3.46</v>
      </c>
      <c r="K13" s="11">
        <v>20.75</v>
      </c>
      <c r="L13" s="11"/>
      <c r="N13" s="2"/>
      <c r="O13" s="6" t="s">
        <v>14</v>
      </c>
      <c r="P13" s="9">
        <v>1.0241</v>
      </c>
      <c r="Q13" s="9">
        <v>69.585421075354901</v>
      </c>
      <c r="R13" s="11">
        <v>679.47877234015095</v>
      </c>
      <c r="T13" s="3">
        <v>50.25</v>
      </c>
      <c r="U13" s="3">
        <v>2.73</v>
      </c>
      <c r="V13" s="3">
        <v>24.44</v>
      </c>
      <c r="W13" s="12" t="str">
        <f>IF(NOT(ISNUMBER(G13)),"",IF(G13&lt;Bands!$B$4,"Low",IF(G13&lt;Bands!$B$5,"Medium",IF(G13&lt;Bands!$B$6,"High","Very high"))))</f>
        <v>Low</v>
      </c>
      <c r="X13" s="12" t="str">
        <f>IF(NOT(ISNUMBER(R13)),"",IF(R13&lt;Bands!$B$4,"Low",IF(R13&lt;Bands!$B$5,"Medium",IF(R13&lt;Bands!$B$6,"High","Very high"))))</f>
        <v>Medium</v>
      </c>
      <c r="Y13" s="12" t="str">
        <f>IF(NOT(ISNUMBER(J13)),"",IF(J13&lt;Bands!$B$18,"Light",IF(J13&lt;Bands!$B$19,"Medium","Dark")))</f>
        <v>Medium</v>
      </c>
      <c r="Z13" s="12" t="str">
        <f>IF(NOT(ISNUMBER(U13)),"",IF(U13&lt;Bands!$B$18,"Light",IF(U13&lt;Bands!$B$19,"Medium","Dark")))</f>
        <v>Light</v>
      </c>
      <c r="AA13" s="12" t="str">
        <f>IF(W13="","",IFERROR(INDEX(Bands!$D$3:$D$6,MATCH(W13,Bands!$A$3:$A$6,0)),""))</f>
        <v>Pale yellow to light golden, even colour, no brown spots</v>
      </c>
      <c r="AB13" s="12" t="str">
        <f>IF(W13="","",IFERROR(INDEX(Bands!$J$3:$J$6,MATCH(W13,Bands!$A$3:$A$6,0)),""))</f>
        <v>Not deep golden-brown or reddish-brown (those match higher values). Avoid black or burnt chips.</v>
      </c>
      <c r="AC13" s="12" t="str">
        <f>IF(X13="","",IFERROR(INDEX(Bands!$D$3:$D$6,MATCH(X13,Bands!$A$3:$A$6,0)),""))</f>
        <v>Golden yellow with light brown at some edges or small spots</v>
      </c>
      <c r="AD13" s="12" t="str">
        <f>IF(X13="","",IFERROR(INDEX(Bands!$J$3:$J$6,MATCH(X13,Bands!$A$3:$A$6,0)),""))</f>
        <v>Not pale yellow (matches a low value) and not deep reddish-brown (matches a high value). Avoid black or burnt chips.</v>
      </c>
      <c r="AE13" s="12" t="str">
        <f>IF(W13="","","Ch4a_"&amp;TEXT(COUNT($G$2:G13),"000")&amp;"_"&amp;SUBSTITUTE(W13," ","-")&amp;"_"&amp;TEXT(G13,"0")&amp;".jpg")</f>
        <v>Ch4a_011_Low_409.jpg</v>
      </c>
      <c r="AF13" s="12" t="str">
        <f>IF(X13="","","Ch4b_"&amp;TEXT(COUNT($R$2:R13),"000")&amp;"_"&amp;SUBSTITUTE(X13," ","-")&amp;"_"&amp;TEXT(R13,"0")&amp;".jpg")</f>
        <v>Ch4b_011_Medium_679.jpg</v>
      </c>
    </row>
    <row r="14" spans="1:32" ht="12.75" customHeight="1" x14ac:dyDescent="0.25">
      <c r="B14" s="1"/>
      <c r="C14" s="1"/>
      <c r="D14" s="6" t="s">
        <v>15</v>
      </c>
      <c r="E14" s="9">
        <v>1.0047999999999999</v>
      </c>
      <c r="F14" s="9">
        <v>35.777532151669597</v>
      </c>
      <c r="G14" s="11">
        <v>356.06620373875</v>
      </c>
      <c r="H14" s="11"/>
      <c r="I14" s="11">
        <v>34.630000000000003</v>
      </c>
      <c r="J14" s="11">
        <v>3.15</v>
      </c>
      <c r="K14" s="11">
        <v>18.989999999999998</v>
      </c>
      <c r="L14" s="11"/>
      <c r="N14" s="2"/>
      <c r="O14" s="6" t="s">
        <v>15</v>
      </c>
      <c r="P14" s="9">
        <v>1.0117</v>
      </c>
      <c r="Q14" s="9">
        <v>85.683700247072906</v>
      </c>
      <c r="R14" s="11">
        <v>846.92794550828205</v>
      </c>
      <c r="W14" s="12" t="str">
        <f>IF(NOT(ISNUMBER(G14)),"",IF(G14&lt;Bands!$B$4,"Low",IF(G14&lt;Bands!$B$5,"Medium",IF(G14&lt;Bands!$B$6,"High","Very high"))))</f>
        <v>Low</v>
      </c>
      <c r="X14" s="12" t="str">
        <f>IF(NOT(ISNUMBER(R14)),"",IF(R14&lt;Bands!$B$4,"Low",IF(R14&lt;Bands!$B$5,"Medium",IF(R14&lt;Bands!$B$6,"High","Very high"))))</f>
        <v>Medium</v>
      </c>
      <c r="Y14" s="12" t="str">
        <f>IF(NOT(ISNUMBER(J14)),"",IF(J14&lt;Bands!$B$18,"Light",IF(J14&lt;Bands!$B$19,"Medium","Dark")))</f>
        <v>Medium</v>
      </c>
      <c r="AA14" s="12" t="str">
        <f>IF(W14="","",IFERROR(INDEX(Bands!$D$3:$D$6,MATCH(W14,Bands!$A$3:$A$6,0)),""))</f>
        <v>Pale yellow to light golden, even colour, no brown spots</v>
      </c>
      <c r="AB14" s="12" t="str">
        <f>IF(W14="","",IFERROR(INDEX(Bands!$J$3:$J$6,MATCH(W14,Bands!$A$3:$A$6,0)),""))</f>
        <v>Not deep golden-brown or reddish-brown (those match higher values). Avoid black or burnt chips.</v>
      </c>
      <c r="AC14" s="12" t="str">
        <f>IF(X14="","",IFERROR(INDEX(Bands!$D$3:$D$6,MATCH(X14,Bands!$A$3:$A$6,0)),""))</f>
        <v>Golden yellow with light brown at some edges or small spots</v>
      </c>
      <c r="AD14" s="12" t="str">
        <f>IF(X14="","",IFERROR(INDEX(Bands!$J$3:$J$6,MATCH(X14,Bands!$A$3:$A$6,0)),""))</f>
        <v>Not pale yellow (matches a low value) and not deep reddish-brown (matches a high value). Avoid black or burnt chips.</v>
      </c>
      <c r="AE14" s="12" t="str">
        <f>IF(W14="","","Ch4a_"&amp;TEXT(COUNT($G$2:G14),"000")&amp;"_"&amp;SUBSTITUTE(W14," ","-")&amp;"_"&amp;TEXT(G14,"0")&amp;".jpg")</f>
        <v>Ch4a_012_Low_356.jpg</v>
      </c>
      <c r="AF14" s="12" t="str">
        <f>IF(X14="","","Ch4b_"&amp;TEXT(COUNT($R$2:R14),"000")&amp;"_"&amp;SUBSTITUTE(X14," ","-")&amp;"_"&amp;TEXT(R14,"0")&amp;".jpg")</f>
        <v>Ch4b_012_Medium_847.jpg</v>
      </c>
    </row>
    <row r="15" spans="1:32" ht="12.75" customHeight="1" x14ac:dyDescent="0.25">
      <c r="B15" s="1"/>
      <c r="E15" s="9"/>
      <c r="F15" s="9"/>
      <c r="G15" s="11"/>
      <c r="H15" s="11"/>
      <c r="I15" s="11"/>
      <c r="J15" s="11"/>
      <c r="K15" s="11"/>
      <c r="L15" s="11"/>
    </row>
    <row r="16" spans="1:32" ht="12.75" customHeight="1" x14ac:dyDescent="0.25">
      <c r="B16" s="1"/>
      <c r="C16" s="2" t="s">
        <v>76</v>
      </c>
      <c r="D16" s="6" t="s">
        <v>10</v>
      </c>
      <c r="E16" s="9">
        <v>1.0038</v>
      </c>
      <c r="F16" s="9">
        <v>51.696440561100403</v>
      </c>
      <c r="G16" s="11">
        <v>515.00737757621505</v>
      </c>
      <c r="H16" s="11"/>
      <c r="I16" s="11"/>
      <c r="J16" s="11"/>
      <c r="K16" s="11"/>
      <c r="L16" s="11"/>
      <c r="N16" s="2" t="s">
        <v>80</v>
      </c>
      <c r="O16" s="6" t="s">
        <v>10</v>
      </c>
      <c r="P16" s="9">
        <v>0.97640000000000005</v>
      </c>
      <c r="Q16" s="9">
        <v>13.071621634368199</v>
      </c>
      <c r="R16" s="11">
        <v>133.87568244949</v>
      </c>
      <c r="W16" s="12" t="str">
        <f>IF(NOT(ISNUMBER(G16)),"",IF(G16&lt;Bands!$B$4,"Low",IF(G16&lt;Bands!$B$5,"Medium",IF(G16&lt;Bands!$B$6,"High","Very high"))))</f>
        <v>Medium</v>
      </c>
      <c r="X16" s="12" t="str">
        <f>IF(NOT(ISNUMBER(R16)),"",IF(R16&lt;Bands!$B$4,"Low",IF(R16&lt;Bands!$B$5,"Medium",IF(R16&lt;Bands!$B$6,"High","Very high"))))</f>
        <v>Low</v>
      </c>
      <c r="AA16" s="12" t="str">
        <f>IF(W16="","",IFERROR(INDEX(Bands!$D$3:$D$6,MATCH(W16,Bands!$A$3:$A$6,0)),""))</f>
        <v>Golden yellow with light brown at some edges or small spots</v>
      </c>
      <c r="AB16" s="12" t="str">
        <f>IF(W16="","",IFERROR(INDEX(Bands!$J$3:$J$6,MATCH(W16,Bands!$A$3:$A$6,0)),""))</f>
        <v>Not pale yellow (matches a low value) and not deep reddish-brown (matches a high value). Avoid black or burnt chips.</v>
      </c>
      <c r="AC16" s="12" t="str">
        <f>IF(X16="","",IFERROR(INDEX(Bands!$D$3:$D$6,MATCH(X16,Bands!$A$3:$A$6,0)),""))</f>
        <v>Pale yellow to light golden, even colour, no brown spots</v>
      </c>
      <c r="AD16" s="12" t="str">
        <f>IF(X16="","",IFERROR(INDEX(Bands!$J$3:$J$6,MATCH(X16,Bands!$A$3:$A$6,0)),""))</f>
        <v>Not deep golden-brown or reddish-brown (those match higher values). Avoid black or burnt chips.</v>
      </c>
      <c r="AE16" s="12" t="str">
        <f>IF(W16="","","Ch4a_"&amp;TEXT(COUNT($G$2:G16),"000")&amp;"_"&amp;SUBSTITUTE(W16," ","-")&amp;"_"&amp;TEXT(G16,"0")&amp;".jpg")</f>
        <v>Ch4a_013_Medium_515.jpg</v>
      </c>
      <c r="AF16" s="12" t="str">
        <f>IF(X16="","","Ch4b_"&amp;TEXT(COUNT($R$2:R16),"000")&amp;"_"&amp;SUBSTITUTE(X16," ","-")&amp;"_"&amp;TEXT(R16,"0")&amp;".jpg")</f>
        <v>Ch4b_013_Low_134.jpg</v>
      </c>
    </row>
    <row r="17" spans="2:32" ht="12.75" customHeight="1" x14ac:dyDescent="0.25">
      <c r="B17" s="1"/>
      <c r="C17" s="1"/>
      <c r="D17" s="6" t="s">
        <v>11</v>
      </c>
      <c r="E17" s="9">
        <v>1.0008999999999999</v>
      </c>
      <c r="F17" s="9">
        <v>44.275469175280698</v>
      </c>
      <c r="G17" s="11">
        <v>442.35657083905198</v>
      </c>
      <c r="H17" s="11"/>
      <c r="I17" s="11">
        <v>46.18</v>
      </c>
      <c r="J17" s="11">
        <v>2.82</v>
      </c>
      <c r="K17" s="11">
        <v>21.22</v>
      </c>
      <c r="L17" s="11"/>
      <c r="N17" s="2"/>
      <c r="O17" s="6" t="s">
        <v>11</v>
      </c>
      <c r="P17" s="9">
        <v>0.97660000000000002</v>
      </c>
      <c r="Q17" s="9">
        <v>12.9185249396192</v>
      </c>
      <c r="R17" s="11">
        <v>132.28061580605399</v>
      </c>
      <c r="T17" s="3">
        <v>39.520000000000003</v>
      </c>
      <c r="U17" s="3">
        <v>2.2599999999999998</v>
      </c>
      <c r="V17" s="3">
        <v>21.01</v>
      </c>
      <c r="W17" s="12" t="str">
        <f>IF(NOT(ISNUMBER(G17)),"",IF(G17&lt;Bands!$B$4,"Low",IF(G17&lt;Bands!$B$5,"Medium",IF(G17&lt;Bands!$B$6,"High","Very high"))))</f>
        <v>Low</v>
      </c>
      <c r="X17" s="12" t="str">
        <f>IF(NOT(ISNUMBER(R17)),"",IF(R17&lt;Bands!$B$4,"Low",IF(R17&lt;Bands!$B$5,"Medium",IF(R17&lt;Bands!$B$6,"High","Very high"))))</f>
        <v>Low</v>
      </c>
      <c r="Y17" s="12" t="str">
        <f>IF(NOT(ISNUMBER(J17)),"",IF(J17&lt;Bands!$B$18,"Light",IF(J17&lt;Bands!$B$19,"Medium","Dark")))</f>
        <v>Light</v>
      </c>
      <c r="Z17" s="12" t="str">
        <f>IF(NOT(ISNUMBER(U17)),"",IF(U17&lt;Bands!$B$18,"Light",IF(U17&lt;Bands!$B$19,"Medium","Dark")))</f>
        <v>Light</v>
      </c>
      <c r="AA17" s="12" t="str">
        <f>IF(W17="","",IFERROR(INDEX(Bands!$D$3:$D$6,MATCH(W17,Bands!$A$3:$A$6,0)),""))</f>
        <v>Pale yellow to light golden, even colour, no brown spots</v>
      </c>
      <c r="AB17" s="12" t="str">
        <f>IF(W17="","",IFERROR(INDEX(Bands!$J$3:$J$6,MATCH(W17,Bands!$A$3:$A$6,0)),""))</f>
        <v>Not deep golden-brown or reddish-brown (those match higher values). Avoid black or burnt chips.</v>
      </c>
      <c r="AC17" s="12" t="str">
        <f>IF(X17="","",IFERROR(INDEX(Bands!$D$3:$D$6,MATCH(X17,Bands!$A$3:$A$6,0)),""))</f>
        <v>Pale yellow to light golden, even colour, no brown spots</v>
      </c>
      <c r="AD17" s="12" t="str">
        <f>IF(X17="","",IFERROR(INDEX(Bands!$J$3:$J$6,MATCH(X17,Bands!$A$3:$A$6,0)),""))</f>
        <v>Not deep golden-brown or reddish-brown (those match higher values). Avoid black or burnt chips.</v>
      </c>
      <c r="AE17" s="12" t="str">
        <f>IF(W17="","","Ch4a_"&amp;TEXT(COUNT($G$2:G17),"000")&amp;"_"&amp;SUBSTITUTE(W17," ","-")&amp;"_"&amp;TEXT(G17,"0")&amp;".jpg")</f>
        <v>Ch4a_014_Low_442.jpg</v>
      </c>
      <c r="AF17" s="12" t="str">
        <f>IF(X17="","","Ch4b_"&amp;TEXT(COUNT($R$2:R17),"000")&amp;"_"&amp;SUBSTITUTE(X17," ","-")&amp;"_"&amp;TEXT(R17,"0")&amp;".jpg")</f>
        <v>Ch4b_014_Low_132.jpg</v>
      </c>
    </row>
    <row r="18" spans="2:32" ht="12.75" customHeight="1" x14ac:dyDescent="0.25">
      <c r="B18" s="1"/>
      <c r="C18" s="1"/>
      <c r="D18" s="6" t="s">
        <v>12</v>
      </c>
      <c r="E18" s="9">
        <v>1.0012000000000001</v>
      </c>
      <c r="F18" s="9">
        <v>52.059208101548201</v>
      </c>
      <c r="G18" s="11">
        <v>519.96811927235501</v>
      </c>
      <c r="H18" s="11"/>
      <c r="I18" s="11">
        <v>35.909999999999997</v>
      </c>
      <c r="J18" s="11">
        <v>3.81</v>
      </c>
      <c r="K18" s="11">
        <v>21.31</v>
      </c>
      <c r="L18" s="11"/>
      <c r="N18" s="2"/>
      <c r="O18" s="6" t="s">
        <v>12</v>
      </c>
      <c r="P18" s="9">
        <v>0.99460000000000004</v>
      </c>
      <c r="Q18" s="9">
        <v>22.237642148590201</v>
      </c>
      <c r="R18" s="11">
        <v>223.58377386477201</v>
      </c>
      <c r="W18" s="12" t="str">
        <f>IF(NOT(ISNUMBER(G18)),"",IF(G18&lt;Bands!$B$4,"Low",IF(G18&lt;Bands!$B$5,"Medium",IF(G18&lt;Bands!$B$6,"High","Very high"))))</f>
        <v>Medium</v>
      </c>
      <c r="X18" s="12" t="str">
        <f>IF(NOT(ISNUMBER(R18)),"",IF(R18&lt;Bands!$B$4,"Low",IF(R18&lt;Bands!$B$5,"Medium",IF(R18&lt;Bands!$B$6,"High","Very high"))))</f>
        <v>Low</v>
      </c>
      <c r="Y18" s="12" t="str">
        <f>IF(NOT(ISNUMBER(J18)),"",IF(J18&lt;Bands!$B$18,"Light",IF(J18&lt;Bands!$B$19,"Medium","Dark")))</f>
        <v>Medium</v>
      </c>
      <c r="AA18" s="12" t="str">
        <f>IF(W18="","",IFERROR(INDEX(Bands!$D$3:$D$6,MATCH(W18,Bands!$A$3:$A$6,0)),""))</f>
        <v>Golden yellow with light brown at some edges or small spots</v>
      </c>
      <c r="AB18" s="12" t="str">
        <f>IF(W18="","",IFERROR(INDEX(Bands!$J$3:$J$6,MATCH(W18,Bands!$A$3:$A$6,0)),""))</f>
        <v>Not pale yellow (matches a low value) and not deep reddish-brown (matches a high value). Avoid black or burnt chips.</v>
      </c>
      <c r="AC18" s="12" t="str">
        <f>IF(X18="","",IFERROR(INDEX(Bands!$D$3:$D$6,MATCH(X18,Bands!$A$3:$A$6,0)),""))</f>
        <v>Pale yellow to light golden, even colour, no brown spots</v>
      </c>
      <c r="AD18" s="12" t="str">
        <f>IF(X18="","",IFERROR(INDEX(Bands!$J$3:$J$6,MATCH(X18,Bands!$A$3:$A$6,0)),""))</f>
        <v>Not deep golden-brown or reddish-brown (those match higher values). Avoid black or burnt chips.</v>
      </c>
      <c r="AE18" s="12" t="str">
        <f>IF(W18="","","Ch4a_"&amp;TEXT(COUNT($G$2:G18),"000")&amp;"_"&amp;SUBSTITUTE(W18," ","-")&amp;"_"&amp;TEXT(G18,"0")&amp;".jpg")</f>
        <v>Ch4a_015_Medium_520.jpg</v>
      </c>
      <c r="AF18" s="12" t="str">
        <f>IF(X18="","","Ch4b_"&amp;TEXT(COUNT($R$2:R18),"000")&amp;"_"&amp;SUBSTITUTE(X18," ","-")&amp;"_"&amp;TEXT(R18,"0")&amp;".jpg")</f>
        <v>Ch4b_015_Low_224.jpg</v>
      </c>
    </row>
    <row r="19" spans="2:32" ht="12.75" customHeight="1" x14ac:dyDescent="0.25">
      <c r="B19" s="1"/>
      <c r="C19" s="1"/>
      <c r="D19" s="6" t="s">
        <v>13</v>
      </c>
      <c r="E19" s="9">
        <v>1.004</v>
      </c>
      <c r="F19" s="9">
        <v>48.568721559828099</v>
      </c>
      <c r="G19" s="11">
        <v>483.75220677119597</v>
      </c>
      <c r="H19" s="11"/>
      <c r="I19" s="11"/>
      <c r="J19" s="11"/>
      <c r="K19" s="11"/>
      <c r="L19" s="11"/>
      <c r="N19" s="2"/>
      <c r="O19" s="6" t="s">
        <v>13</v>
      </c>
      <c r="P19" s="9">
        <v>0.96540000000000004</v>
      </c>
      <c r="Q19" s="9">
        <v>23.418423892123801</v>
      </c>
      <c r="R19" s="11">
        <v>242.57741756913001</v>
      </c>
      <c r="T19" s="3">
        <v>29.44</v>
      </c>
      <c r="U19" s="3">
        <v>2.25</v>
      </c>
      <c r="V19" s="3">
        <v>15.95</v>
      </c>
      <c r="W19" s="12" t="str">
        <f>IF(NOT(ISNUMBER(G19)),"",IF(G19&lt;Bands!$B$4,"Low",IF(G19&lt;Bands!$B$5,"Medium",IF(G19&lt;Bands!$B$6,"High","Very high"))))</f>
        <v>Low</v>
      </c>
      <c r="X19" s="12" t="str">
        <f>IF(NOT(ISNUMBER(R19)),"",IF(R19&lt;Bands!$B$4,"Low",IF(R19&lt;Bands!$B$5,"Medium",IF(R19&lt;Bands!$B$6,"High","Very high"))))</f>
        <v>Low</v>
      </c>
      <c r="Z19" s="12" t="str">
        <f>IF(NOT(ISNUMBER(U19)),"",IF(U19&lt;Bands!$B$18,"Light",IF(U19&lt;Bands!$B$19,"Medium","Dark")))</f>
        <v>Light</v>
      </c>
      <c r="AA19" s="12" t="str">
        <f>IF(W19="","",IFERROR(INDEX(Bands!$D$3:$D$6,MATCH(W19,Bands!$A$3:$A$6,0)),""))</f>
        <v>Pale yellow to light golden, even colour, no brown spots</v>
      </c>
      <c r="AB19" s="12" t="str">
        <f>IF(W19="","",IFERROR(INDEX(Bands!$J$3:$J$6,MATCH(W19,Bands!$A$3:$A$6,0)),""))</f>
        <v>Not deep golden-brown or reddish-brown (those match higher values). Avoid black or burnt chips.</v>
      </c>
      <c r="AC19" s="12" t="str">
        <f>IF(X19="","",IFERROR(INDEX(Bands!$D$3:$D$6,MATCH(X19,Bands!$A$3:$A$6,0)),""))</f>
        <v>Pale yellow to light golden, even colour, no brown spots</v>
      </c>
      <c r="AD19" s="12" t="str">
        <f>IF(X19="","",IFERROR(INDEX(Bands!$J$3:$J$6,MATCH(X19,Bands!$A$3:$A$6,0)),""))</f>
        <v>Not deep golden-brown or reddish-brown (those match higher values). Avoid black or burnt chips.</v>
      </c>
      <c r="AE19" s="12" t="str">
        <f>IF(W19="","","Ch4a_"&amp;TEXT(COUNT($G$2:G19),"000")&amp;"_"&amp;SUBSTITUTE(W19," ","-")&amp;"_"&amp;TEXT(G19,"0")&amp;".jpg")</f>
        <v>Ch4a_016_Low_484.jpg</v>
      </c>
      <c r="AF19" s="12" t="str">
        <f>IF(X19="","","Ch4b_"&amp;TEXT(COUNT($R$2:R19),"000")&amp;"_"&amp;SUBSTITUTE(X19," ","-")&amp;"_"&amp;TEXT(R19,"0")&amp;".jpg")</f>
        <v>Ch4b_016_Low_243.jpg</v>
      </c>
    </row>
    <row r="20" spans="2:32" ht="12.75" customHeight="1" x14ac:dyDescent="0.25">
      <c r="B20" s="1"/>
      <c r="C20" s="1"/>
      <c r="D20" s="6" t="s">
        <v>14</v>
      </c>
      <c r="E20" s="9">
        <v>1.0058</v>
      </c>
      <c r="F20" s="9">
        <v>37.491466134970601</v>
      </c>
      <c r="G20" s="11">
        <v>372.75269571456198</v>
      </c>
      <c r="H20" s="11"/>
      <c r="I20" s="11">
        <v>44.91</v>
      </c>
      <c r="J20" s="11">
        <v>3.1</v>
      </c>
      <c r="K20" s="11">
        <v>20.99</v>
      </c>
      <c r="L20" s="11"/>
      <c r="N20" s="2"/>
      <c r="O20" s="6" t="s">
        <v>14</v>
      </c>
      <c r="P20" s="9">
        <v>0.97819999999999996</v>
      </c>
      <c r="Q20" s="9">
        <v>9.7861722487640694</v>
      </c>
      <c r="R20" s="11">
        <v>100.042652307954</v>
      </c>
      <c r="T20" s="3">
        <v>34.799999999999997</v>
      </c>
      <c r="U20" s="3">
        <v>1.83</v>
      </c>
      <c r="V20" s="3">
        <v>18.809999999999999</v>
      </c>
      <c r="W20" s="12" t="str">
        <f>IF(NOT(ISNUMBER(G20)),"",IF(G20&lt;Bands!$B$4,"Low",IF(G20&lt;Bands!$B$5,"Medium",IF(G20&lt;Bands!$B$6,"High","Very high"))))</f>
        <v>Low</v>
      </c>
      <c r="X20" s="12" t="str">
        <f>IF(NOT(ISNUMBER(R20)),"",IF(R20&lt;Bands!$B$4,"Low",IF(R20&lt;Bands!$B$5,"Medium",IF(R20&lt;Bands!$B$6,"High","Very high"))))</f>
        <v>Low</v>
      </c>
      <c r="Y20" s="12" t="str">
        <f>IF(NOT(ISNUMBER(J20)),"",IF(J20&lt;Bands!$B$18,"Light",IF(J20&lt;Bands!$B$19,"Medium","Dark")))</f>
        <v>Medium</v>
      </c>
      <c r="Z20" s="12" t="str">
        <f>IF(NOT(ISNUMBER(U20)),"",IF(U20&lt;Bands!$B$18,"Light",IF(U20&lt;Bands!$B$19,"Medium","Dark")))</f>
        <v>Light</v>
      </c>
      <c r="AA20" s="12" t="str">
        <f>IF(W20="","",IFERROR(INDEX(Bands!$D$3:$D$6,MATCH(W20,Bands!$A$3:$A$6,0)),""))</f>
        <v>Pale yellow to light golden, even colour, no brown spots</v>
      </c>
      <c r="AB20" s="12" t="str">
        <f>IF(W20="","",IFERROR(INDEX(Bands!$J$3:$J$6,MATCH(W20,Bands!$A$3:$A$6,0)),""))</f>
        <v>Not deep golden-brown or reddish-brown (those match higher values). Avoid black or burnt chips.</v>
      </c>
      <c r="AC20" s="12" t="str">
        <f>IF(X20="","",IFERROR(INDEX(Bands!$D$3:$D$6,MATCH(X20,Bands!$A$3:$A$6,0)),""))</f>
        <v>Pale yellow to light golden, even colour, no brown spots</v>
      </c>
      <c r="AD20" s="12" t="str">
        <f>IF(X20="","",IFERROR(INDEX(Bands!$J$3:$J$6,MATCH(X20,Bands!$A$3:$A$6,0)),""))</f>
        <v>Not deep golden-brown or reddish-brown (those match higher values). Avoid black or burnt chips.</v>
      </c>
      <c r="AE20" s="12" t="str">
        <f>IF(W20="","","Ch4a_"&amp;TEXT(COUNT($G$2:G20),"000")&amp;"_"&amp;SUBSTITUTE(W20," ","-")&amp;"_"&amp;TEXT(G20,"0")&amp;".jpg")</f>
        <v>Ch4a_017_Low_373.jpg</v>
      </c>
      <c r="AF20" s="12" t="str">
        <f>IF(X20="","","Ch4b_"&amp;TEXT(COUNT($R$2:R20),"000")&amp;"_"&amp;SUBSTITUTE(X20," ","-")&amp;"_"&amp;TEXT(R20,"0")&amp;".jpg")</f>
        <v>Ch4b_017_Low_100.jpg</v>
      </c>
    </row>
    <row r="21" spans="2:32" ht="12.75" customHeight="1" x14ac:dyDescent="0.25">
      <c r="B21" s="1"/>
      <c r="C21" s="1"/>
      <c r="D21" s="6" t="s">
        <v>15</v>
      </c>
      <c r="E21" s="9">
        <v>1.0047999999999999</v>
      </c>
      <c r="F21" s="9">
        <v>30.0969530502434</v>
      </c>
      <c r="G21" s="11">
        <v>299.53177796818699</v>
      </c>
      <c r="H21" s="11"/>
      <c r="I21" s="11"/>
      <c r="J21" s="11"/>
      <c r="K21" s="11"/>
      <c r="L21" s="11"/>
      <c r="N21" s="2"/>
      <c r="O21" s="6" t="s">
        <v>15</v>
      </c>
      <c r="P21" s="9">
        <v>1.0336000000000001</v>
      </c>
      <c r="Q21" s="9">
        <v>11.039504221758399</v>
      </c>
      <c r="R21" s="11">
        <v>106.806348894721</v>
      </c>
      <c r="W21" s="12" t="str">
        <f>IF(NOT(ISNUMBER(G21)),"",IF(G21&lt;Bands!$B$4,"Low",IF(G21&lt;Bands!$B$5,"Medium",IF(G21&lt;Bands!$B$6,"High","Very high"))))</f>
        <v>Low</v>
      </c>
      <c r="X21" s="12" t="str">
        <f>IF(NOT(ISNUMBER(R21)),"",IF(R21&lt;Bands!$B$4,"Low",IF(R21&lt;Bands!$B$5,"Medium",IF(R21&lt;Bands!$B$6,"High","Very high"))))</f>
        <v>Low</v>
      </c>
      <c r="AA21" s="12" t="str">
        <f>IF(W21="","",IFERROR(INDEX(Bands!$D$3:$D$6,MATCH(W21,Bands!$A$3:$A$6,0)),""))</f>
        <v>Pale yellow to light golden, even colour, no brown spots</v>
      </c>
      <c r="AB21" s="12" t="str">
        <f>IF(W21="","",IFERROR(INDEX(Bands!$J$3:$J$6,MATCH(W21,Bands!$A$3:$A$6,0)),""))</f>
        <v>Not deep golden-brown or reddish-brown (those match higher values). Avoid black or burnt chips.</v>
      </c>
      <c r="AC21" s="12" t="str">
        <f>IF(X21="","",IFERROR(INDEX(Bands!$D$3:$D$6,MATCH(X21,Bands!$A$3:$A$6,0)),""))</f>
        <v>Pale yellow to light golden, even colour, no brown spots</v>
      </c>
      <c r="AD21" s="12" t="str">
        <f>IF(X21="","",IFERROR(INDEX(Bands!$J$3:$J$6,MATCH(X21,Bands!$A$3:$A$6,0)),""))</f>
        <v>Not deep golden-brown or reddish-brown (those match higher values). Avoid black or burnt chips.</v>
      </c>
      <c r="AE21" s="12" t="str">
        <f>IF(W21="","","Ch4a_"&amp;TEXT(COUNT($G$2:G21),"000")&amp;"_"&amp;SUBSTITUTE(W21," ","-")&amp;"_"&amp;TEXT(G21,"0")&amp;".jpg")</f>
        <v>Ch4a_018_Low_300.jpg</v>
      </c>
      <c r="AF21" s="12" t="str">
        <f>IF(X21="","","Ch4b_"&amp;TEXT(COUNT($R$2:R21),"000")&amp;"_"&amp;SUBSTITUTE(X21," ","-")&amp;"_"&amp;TEXT(R21,"0")&amp;".jpg")</f>
        <v>Ch4b_018_Low_107.jpg</v>
      </c>
    </row>
    <row r="22" spans="2:32" ht="12.75" customHeight="1" x14ac:dyDescent="0.25">
      <c r="E22" s="9"/>
      <c r="F22" s="9"/>
      <c r="G22" s="11"/>
      <c r="H22" s="11"/>
      <c r="I22" s="11"/>
      <c r="J22" s="11"/>
      <c r="K22" s="11"/>
      <c r="L22" s="11"/>
    </row>
    <row r="23" spans="2:32" ht="12.75" customHeight="1" x14ac:dyDescent="0.25">
      <c r="B23" s="1" t="s">
        <v>81</v>
      </c>
      <c r="C23" s="2" t="s">
        <v>78</v>
      </c>
      <c r="D23" s="6" t="s">
        <v>10</v>
      </c>
      <c r="E23" s="9">
        <v>1.0037</v>
      </c>
      <c r="F23" s="9">
        <v>13.548497032254399</v>
      </c>
      <c r="G23" s="11">
        <v>134.98552388417301</v>
      </c>
      <c r="H23" s="11"/>
      <c r="N23" s="2" t="s">
        <v>82</v>
      </c>
      <c r="O23" s="6" t="s">
        <v>10</v>
      </c>
      <c r="P23" s="9">
        <v>1.0273000000000001</v>
      </c>
      <c r="Q23" s="9">
        <v>539.10136833205297</v>
      </c>
      <c r="R23" s="11">
        <v>5247.7501054419599</v>
      </c>
      <c r="T23" s="3">
        <v>22.02</v>
      </c>
      <c r="U23" s="3">
        <v>8.0299999999999994</v>
      </c>
      <c r="V23" s="3">
        <v>11.37</v>
      </c>
      <c r="W23" s="12" t="str">
        <f>IF(NOT(ISNUMBER(G23)),"",IF(G23&lt;Bands!$B$4,"Low",IF(G23&lt;Bands!$B$5,"Medium",IF(G23&lt;Bands!$B$6,"High","Very high"))))</f>
        <v>Low</v>
      </c>
      <c r="X23" s="12" t="str">
        <f>IF(NOT(ISNUMBER(R23)),"",IF(R23&lt;Bands!$B$4,"Low",IF(R23&lt;Bands!$B$5,"Medium",IF(R23&lt;Bands!$B$6,"High","Very high"))))</f>
        <v>Very high</v>
      </c>
      <c r="Z23" s="12" t="str">
        <f>IF(NOT(ISNUMBER(U23)),"",IF(U23&lt;Bands!$B$18,"Light",IF(U23&lt;Bands!$B$19,"Medium","Dark")))</f>
        <v>Dark</v>
      </c>
      <c r="AA23" s="12" t="str">
        <f>IF(W23="","",IFERROR(INDEX(Bands!$D$3:$D$6,MATCH(W23,Bands!$A$3:$A$6,0)),""))</f>
        <v>Pale yellow to light golden, even colour, no brown spots</v>
      </c>
      <c r="AB23" s="12" t="str">
        <f>IF(W23="","",IFERROR(INDEX(Bands!$J$3:$J$6,MATCH(W23,Bands!$A$3:$A$6,0)),""))</f>
        <v>Not deep golden-brown or reddish-brown (those match higher values). Avoid black or burnt chips.</v>
      </c>
      <c r="AC23" s="12" t="str">
        <f>IF(X23="","",IFERROR(INDEX(Bands!$D$3:$D$6,MATCH(X23,Bands!$A$3:$A$6,0)),""))</f>
        <v>Deep golden-brown to medium brown with a reddish tone; edges darkest, centre golden or light brown</v>
      </c>
      <c r="AD23" s="12" t="str">
        <f>IF(X23="","",IFERROR(INDEX(Bands!$J$3:$J$6,MATCH(X23,Bands!$A$3:$A$6,0)),""))</f>
        <v>Not pale yellow, which would match a low value, or black and burnt, since very dark chips can have lower acrylamide.</v>
      </c>
      <c r="AE23" s="12" t="str">
        <f>IF(W23="","","Ch4a_"&amp;TEXT(COUNT($G$2:G23),"000")&amp;"_"&amp;SUBSTITUTE(W23," ","-")&amp;"_"&amp;TEXT(G23,"0")&amp;".jpg")</f>
        <v>Ch4a_019_Low_135.jpg</v>
      </c>
      <c r="AF23" s="12" t="str">
        <f>IF(X23="","","Ch4b_"&amp;TEXT(COUNT($R$2:R23),"000")&amp;"_"&amp;SUBSTITUTE(X23," ","-")&amp;"_"&amp;TEXT(R23,"0")&amp;".jpg")</f>
        <v>Ch4b_019_Very-high_5248.jpg</v>
      </c>
    </row>
    <row r="24" spans="2:32" ht="12.75" customHeight="1" x14ac:dyDescent="0.25">
      <c r="B24" s="1"/>
      <c r="C24" s="1"/>
      <c r="D24" s="6" t="s">
        <v>11</v>
      </c>
      <c r="E24" s="9">
        <v>1.0039</v>
      </c>
      <c r="F24" s="9">
        <v>13.5678886289005</v>
      </c>
      <c r="G24" s="11">
        <v>135.151794291269</v>
      </c>
      <c r="H24" s="11"/>
      <c r="N24" s="2"/>
      <c r="O24" s="6" t="s">
        <v>11</v>
      </c>
      <c r="P24" s="9">
        <v>1.0136000000000001</v>
      </c>
      <c r="Q24" s="9">
        <v>33.680383292354499</v>
      </c>
      <c r="R24" s="11">
        <v>332.28476018502897</v>
      </c>
      <c r="T24" s="3">
        <v>28.95</v>
      </c>
      <c r="U24" s="3">
        <v>2.11</v>
      </c>
      <c r="V24" s="3">
        <v>12.95</v>
      </c>
      <c r="W24" s="12" t="str">
        <f>IF(NOT(ISNUMBER(G24)),"",IF(G24&lt;Bands!$B$4,"Low",IF(G24&lt;Bands!$B$5,"Medium",IF(G24&lt;Bands!$B$6,"High","Very high"))))</f>
        <v>Low</v>
      </c>
      <c r="X24" s="12" t="str">
        <f>IF(NOT(ISNUMBER(R24)),"",IF(R24&lt;Bands!$B$4,"Low",IF(R24&lt;Bands!$B$5,"Medium",IF(R24&lt;Bands!$B$6,"High","Very high"))))</f>
        <v>Low</v>
      </c>
      <c r="Z24" s="12" t="str">
        <f>IF(NOT(ISNUMBER(U24)),"",IF(U24&lt;Bands!$B$18,"Light",IF(U24&lt;Bands!$B$19,"Medium","Dark")))</f>
        <v>Light</v>
      </c>
      <c r="AA24" s="12" t="str">
        <f>IF(W24="","",IFERROR(INDEX(Bands!$D$3:$D$6,MATCH(W24,Bands!$A$3:$A$6,0)),""))</f>
        <v>Pale yellow to light golden, even colour, no brown spots</v>
      </c>
      <c r="AB24" s="12" t="str">
        <f>IF(W24="","",IFERROR(INDEX(Bands!$J$3:$J$6,MATCH(W24,Bands!$A$3:$A$6,0)),""))</f>
        <v>Not deep golden-brown or reddish-brown (those match higher values). Avoid black or burnt chips.</v>
      </c>
      <c r="AC24" s="12" t="str">
        <f>IF(X24="","",IFERROR(INDEX(Bands!$D$3:$D$6,MATCH(X24,Bands!$A$3:$A$6,0)),""))</f>
        <v>Pale yellow to light golden, even colour, no brown spots</v>
      </c>
      <c r="AD24" s="12" t="str">
        <f>IF(X24="","",IFERROR(INDEX(Bands!$J$3:$J$6,MATCH(X24,Bands!$A$3:$A$6,0)),""))</f>
        <v>Not deep golden-brown or reddish-brown (those match higher values). Avoid black or burnt chips.</v>
      </c>
      <c r="AE24" s="12" t="str">
        <f>IF(W24="","","Ch4a_"&amp;TEXT(COUNT($G$2:G24),"000")&amp;"_"&amp;SUBSTITUTE(W24," ","-")&amp;"_"&amp;TEXT(G24,"0")&amp;".jpg")</f>
        <v>Ch4a_020_Low_135.jpg</v>
      </c>
      <c r="AF24" s="12" t="str">
        <f>IF(X24="","","Ch4b_"&amp;TEXT(COUNT($R$2:R24),"000")&amp;"_"&amp;SUBSTITUTE(X24," ","-")&amp;"_"&amp;TEXT(R24,"0")&amp;".jpg")</f>
        <v>Ch4b_020_Low_332.jpg</v>
      </c>
    </row>
    <row r="25" spans="2:32" ht="12.75" customHeight="1" x14ac:dyDescent="0.25">
      <c r="B25" s="1"/>
      <c r="C25" s="1"/>
      <c r="D25" s="6" t="s">
        <v>12</v>
      </c>
      <c r="E25" s="9">
        <v>1.0018</v>
      </c>
      <c r="F25" s="9">
        <v>22.545143114960499</v>
      </c>
      <c r="G25" s="11">
        <v>225.04634772370201</v>
      </c>
      <c r="H25" s="11"/>
      <c r="N25" s="2"/>
      <c r="O25" s="6" t="s">
        <v>12</v>
      </c>
      <c r="P25" s="9">
        <v>0.9788</v>
      </c>
      <c r="Q25" s="9">
        <v>167.65425418887199</v>
      </c>
      <c r="R25" s="11">
        <v>1712.8550693591301</v>
      </c>
      <c r="W25" s="12" t="str">
        <f>IF(NOT(ISNUMBER(G25)),"",IF(G25&lt;Bands!$B$4,"Low",IF(G25&lt;Bands!$B$5,"Medium",IF(G25&lt;Bands!$B$6,"High","Very high"))))</f>
        <v>Low</v>
      </c>
      <c r="X25" s="12" t="str">
        <f>IF(NOT(ISNUMBER(R25)),"",IF(R25&lt;Bands!$B$4,"Low",IF(R25&lt;Bands!$B$5,"Medium",IF(R25&lt;Bands!$B$6,"High","Very high"))))</f>
        <v>High</v>
      </c>
      <c r="AA25" s="12" t="str">
        <f>IF(W25="","",IFERROR(INDEX(Bands!$D$3:$D$6,MATCH(W25,Bands!$A$3:$A$6,0)),""))</f>
        <v>Pale yellow to light golden, even colour, no brown spots</v>
      </c>
      <c r="AB25" s="12" t="str">
        <f>IF(W25="","",IFERROR(INDEX(Bands!$J$3:$J$6,MATCH(W25,Bands!$A$3:$A$6,0)),""))</f>
        <v>Not deep golden-brown or reddish-brown (those match higher values). Avoid black or burnt chips.</v>
      </c>
      <c r="AC25" s="12" t="str">
        <f>IF(X25="","",IFERROR(INDEX(Bands!$D$3:$D$6,MATCH(X25,Bands!$A$3:$A$6,0)),""))</f>
        <v>Golden-brown with a reddish tint, brown edges, somewhat uneven</v>
      </c>
      <c r="AD25" s="12" t="str">
        <f>IF(X25="","",IFERROR(INDEX(Bands!$J$3:$J$6,MATCH(X25,Bands!$A$3:$A$6,0)),""))</f>
        <v>Not pale yellow, which would match a low value. Not black or burnt, since very dark chips can have lower acrylamide.</v>
      </c>
      <c r="AE25" s="12" t="str">
        <f>IF(W25="","","Ch4a_"&amp;TEXT(COUNT($G$2:G25),"000")&amp;"_"&amp;SUBSTITUTE(W25," ","-")&amp;"_"&amp;TEXT(G25,"0")&amp;".jpg")</f>
        <v>Ch4a_021_Low_225.jpg</v>
      </c>
      <c r="AF25" s="12" t="str">
        <f>IF(X25="","","Ch4b_"&amp;TEXT(COUNT($R$2:R25),"000")&amp;"_"&amp;SUBSTITUTE(X25," ","-")&amp;"_"&amp;TEXT(R25,"0")&amp;".jpg")</f>
        <v>Ch4b_021_High_1713.jpg</v>
      </c>
    </row>
    <row r="26" spans="2:32" ht="12.75" customHeight="1" x14ac:dyDescent="0.25">
      <c r="B26" s="1"/>
      <c r="C26" s="1"/>
      <c r="D26" s="6" t="s">
        <v>13</v>
      </c>
      <c r="E26" s="9">
        <v>1.0007999999999999</v>
      </c>
      <c r="F26" s="9">
        <v>29.658432466345801</v>
      </c>
      <c r="G26" s="11">
        <v>296.34724686596502</v>
      </c>
      <c r="H26" s="11"/>
      <c r="N26" s="2"/>
      <c r="O26" s="6" t="s">
        <v>13</v>
      </c>
      <c r="P26" s="9">
        <v>0.97040000000000004</v>
      </c>
      <c r="Q26" s="9">
        <v>48.189277072610203</v>
      </c>
      <c r="R26" s="11">
        <v>496.59189069054202</v>
      </c>
      <c r="W26" s="12" t="str">
        <f>IF(NOT(ISNUMBER(G26)),"",IF(G26&lt;Bands!$B$4,"Low",IF(G26&lt;Bands!$B$5,"Medium",IF(G26&lt;Bands!$B$6,"High","Very high"))))</f>
        <v>Low</v>
      </c>
      <c r="X26" s="12" t="str">
        <f>IF(NOT(ISNUMBER(R26)),"",IF(R26&lt;Bands!$B$4,"Low",IF(R26&lt;Bands!$B$5,"Medium",IF(R26&lt;Bands!$B$6,"High","Very high"))))</f>
        <v>Low</v>
      </c>
      <c r="AA26" s="12" t="str">
        <f>IF(W26="","",IFERROR(INDEX(Bands!$D$3:$D$6,MATCH(W26,Bands!$A$3:$A$6,0)),""))</f>
        <v>Pale yellow to light golden, even colour, no brown spots</v>
      </c>
      <c r="AB26" s="12" t="str">
        <f>IF(W26="","",IFERROR(INDEX(Bands!$J$3:$J$6,MATCH(W26,Bands!$A$3:$A$6,0)),""))</f>
        <v>Not deep golden-brown or reddish-brown (those match higher values). Avoid black or burnt chips.</v>
      </c>
      <c r="AC26" s="12" t="str">
        <f>IF(X26="","",IFERROR(INDEX(Bands!$D$3:$D$6,MATCH(X26,Bands!$A$3:$A$6,0)),""))</f>
        <v>Pale yellow to light golden, even colour, no brown spots</v>
      </c>
      <c r="AD26" s="12" t="str">
        <f>IF(X26="","",IFERROR(INDEX(Bands!$J$3:$J$6,MATCH(X26,Bands!$A$3:$A$6,0)),""))</f>
        <v>Not deep golden-brown or reddish-brown (those match higher values). Avoid black or burnt chips.</v>
      </c>
      <c r="AE26" s="12" t="str">
        <f>IF(W26="","","Ch4a_"&amp;TEXT(COUNT($G$2:G26),"000")&amp;"_"&amp;SUBSTITUTE(W26," ","-")&amp;"_"&amp;TEXT(G26,"0")&amp;".jpg")</f>
        <v>Ch4a_022_Low_296.jpg</v>
      </c>
      <c r="AF26" s="12" t="str">
        <f>IF(X26="","","Ch4b_"&amp;TEXT(COUNT($R$2:R26),"000")&amp;"_"&amp;SUBSTITUTE(X26," ","-")&amp;"_"&amp;TEXT(R26,"0")&amp;".jpg")</f>
        <v>Ch4b_022_Low_497.jpg</v>
      </c>
    </row>
    <row r="27" spans="2:32" ht="12.75" customHeight="1" x14ac:dyDescent="0.25">
      <c r="B27" s="1"/>
      <c r="C27" s="1"/>
      <c r="D27" s="6" t="s">
        <v>14</v>
      </c>
      <c r="E27" s="9">
        <v>1.0032000000000001</v>
      </c>
      <c r="F27" s="9">
        <v>22.5227558809035</v>
      </c>
      <c r="G27" s="11">
        <v>224.50912959433299</v>
      </c>
      <c r="H27" s="11"/>
      <c r="N27" s="2"/>
      <c r="O27" s="6" t="s">
        <v>14</v>
      </c>
      <c r="P27" s="9">
        <v>1.0356000000000001</v>
      </c>
      <c r="Q27" s="9">
        <v>29.1496357893236</v>
      </c>
      <c r="R27" s="11">
        <v>281.47581874588298</v>
      </c>
      <c r="T27" s="3">
        <v>31.08</v>
      </c>
      <c r="U27" s="3">
        <v>2.11</v>
      </c>
      <c r="V27" s="3">
        <v>14.3</v>
      </c>
      <c r="W27" s="12" t="str">
        <f>IF(NOT(ISNUMBER(G27)),"",IF(G27&lt;Bands!$B$4,"Low",IF(G27&lt;Bands!$B$5,"Medium",IF(G27&lt;Bands!$B$6,"High","Very high"))))</f>
        <v>Low</v>
      </c>
      <c r="X27" s="12" t="str">
        <f>IF(NOT(ISNUMBER(R27)),"",IF(R27&lt;Bands!$B$4,"Low",IF(R27&lt;Bands!$B$5,"Medium",IF(R27&lt;Bands!$B$6,"High","Very high"))))</f>
        <v>Low</v>
      </c>
      <c r="Z27" s="12" t="str">
        <f>IF(NOT(ISNUMBER(U27)),"",IF(U27&lt;Bands!$B$18,"Light",IF(U27&lt;Bands!$B$19,"Medium","Dark")))</f>
        <v>Light</v>
      </c>
      <c r="AA27" s="12" t="str">
        <f>IF(W27="","",IFERROR(INDEX(Bands!$D$3:$D$6,MATCH(W27,Bands!$A$3:$A$6,0)),""))</f>
        <v>Pale yellow to light golden, even colour, no brown spots</v>
      </c>
      <c r="AB27" s="12" t="str">
        <f>IF(W27="","",IFERROR(INDEX(Bands!$J$3:$J$6,MATCH(W27,Bands!$A$3:$A$6,0)),""))</f>
        <v>Not deep golden-brown or reddish-brown (those match higher values). Avoid black or burnt chips.</v>
      </c>
      <c r="AC27" s="12" t="str">
        <f>IF(X27="","",IFERROR(INDEX(Bands!$D$3:$D$6,MATCH(X27,Bands!$A$3:$A$6,0)),""))</f>
        <v>Pale yellow to light golden, even colour, no brown spots</v>
      </c>
      <c r="AD27" s="12" t="str">
        <f>IF(X27="","",IFERROR(INDEX(Bands!$J$3:$J$6,MATCH(X27,Bands!$A$3:$A$6,0)),""))</f>
        <v>Not deep golden-brown or reddish-brown (those match higher values). Avoid black or burnt chips.</v>
      </c>
      <c r="AE27" s="12" t="str">
        <f>IF(W27="","","Ch4a_"&amp;TEXT(COUNT($G$2:G27),"000")&amp;"_"&amp;SUBSTITUTE(W27," ","-")&amp;"_"&amp;TEXT(G27,"0")&amp;".jpg")</f>
        <v>Ch4a_023_Low_225.jpg</v>
      </c>
      <c r="AF27" s="12" t="str">
        <f>IF(X27="","","Ch4b_"&amp;TEXT(COUNT($R$2:R27),"000")&amp;"_"&amp;SUBSTITUTE(X27," ","-")&amp;"_"&amp;TEXT(R27,"0")&amp;".jpg")</f>
        <v>Ch4b_023_Low_281.jpg</v>
      </c>
    </row>
    <row r="28" spans="2:32" ht="12.75" customHeight="1" x14ac:dyDescent="0.25">
      <c r="B28" s="1"/>
      <c r="C28" s="1"/>
      <c r="D28" s="6" t="s">
        <v>15</v>
      </c>
      <c r="E28" s="9">
        <v>1.0062</v>
      </c>
      <c r="F28" s="9">
        <v>45.816709016979999</v>
      </c>
      <c r="G28" s="11">
        <v>455.34395763247898</v>
      </c>
      <c r="H28" s="11"/>
      <c r="N28" s="2"/>
      <c r="O28" s="6" t="s">
        <v>15</v>
      </c>
      <c r="P28" s="9">
        <v>1.0207999999999999</v>
      </c>
      <c r="Q28" s="9">
        <v>95.824233493138806</v>
      </c>
      <c r="R28" s="11">
        <v>938.71702089673602</v>
      </c>
      <c r="W28" s="12" t="str">
        <f>IF(NOT(ISNUMBER(G28)),"",IF(G28&lt;Bands!$B$4,"Low",IF(G28&lt;Bands!$B$5,"Medium",IF(G28&lt;Bands!$B$6,"High","Very high"))))</f>
        <v>Low</v>
      </c>
      <c r="X28" s="12" t="str">
        <f>IF(NOT(ISNUMBER(R28)),"",IF(R28&lt;Bands!$B$4,"Low",IF(R28&lt;Bands!$B$5,"Medium",IF(R28&lt;Bands!$B$6,"High","Very high"))))</f>
        <v>Medium</v>
      </c>
      <c r="AA28" s="12" t="str">
        <f>IF(W28="","",IFERROR(INDEX(Bands!$D$3:$D$6,MATCH(W28,Bands!$A$3:$A$6,0)),""))</f>
        <v>Pale yellow to light golden, even colour, no brown spots</v>
      </c>
      <c r="AB28" s="12" t="str">
        <f>IF(W28="","",IFERROR(INDEX(Bands!$J$3:$J$6,MATCH(W28,Bands!$A$3:$A$6,0)),""))</f>
        <v>Not deep golden-brown or reddish-brown (those match higher values). Avoid black or burnt chips.</v>
      </c>
      <c r="AC28" s="12" t="str">
        <f>IF(X28="","",IFERROR(INDEX(Bands!$D$3:$D$6,MATCH(X28,Bands!$A$3:$A$6,0)),""))</f>
        <v>Golden yellow with light brown at some edges or small spots</v>
      </c>
      <c r="AD28" s="12" t="str">
        <f>IF(X28="","",IFERROR(INDEX(Bands!$J$3:$J$6,MATCH(X28,Bands!$A$3:$A$6,0)),""))</f>
        <v>Not pale yellow (matches a low value) and not deep reddish-brown (matches a high value). Avoid black or burnt chips.</v>
      </c>
      <c r="AE28" s="12" t="str">
        <f>IF(W28="","","Ch4a_"&amp;TEXT(COUNT($G$2:G28),"000")&amp;"_"&amp;SUBSTITUTE(W28," ","-")&amp;"_"&amp;TEXT(G28,"0")&amp;".jpg")</f>
        <v>Ch4a_024_Low_455.jpg</v>
      </c>
      <c r="AF28" s="12" t="str">
        <f>IF(X28="","","Ch4b_"&amp;TEXT(COUNT($R$2:R28),"000")&amp;"_"&amp;SUBSTITUTE(X28," ","-")&amp;"_"&amp;TEXT(R28,"0")&amp;".jpg")</f>
        <v>Ch4b_024_Medium_939.jpg</v>
      </c>
    </row>
    <row r="29" spans="2:32" ht="12.75" customHeight="1" x14ac:dyDescent="0.25">
      <c r="B29" s="1"/>
      <c r="E29" s="9"/>
      <c r="F29" s="9"/>
      <c r="G29" s="11"/>
      <c r="H29" s="11"/>
    </row>
    <row r="30" spans="2:32" ht="12.75" customHeight="1" x14ac:dyDescent="0.25">
      <c r="B30" s="1"/>
      <c r="C30" s="2" t="s">
        <v>76</v>
      </c>
      <c r="D30" s="6" t="s">
        <v>10</v>
      </c>
      <c r="E30" s="9">
        <v>1.0029999999999999</v>
      </c>
      <c r="F30" s="9">
        <v>27.528223670574501</v>
      </c>
      <c r="G30" s="11">
        <v>274.45886012536897</v>
      </c>
      <c r="H30" s="11"/>
      <c r="N30" s="2" t="s">
        <v>83</v>
      </c>
      <c r="O30" s="6" t="s">
        <v>10</v>
      </c>
      <c r="P30" s="9">
        <v>0.99</v>
      </c>
      <c r="Q30" s="9">
        <v>98.896659484688499</v>
      </c>
      <c r="R30" s="11">
        <v>998.95615641099505</v>
      </c>
      <c r="T30" s="3">
        <v>40.54</v>
      </c>
      <c r="U30" s="3">
        <v>4.3099999999999996</v>
      </c>
      <c r="V30" s="3">
        <v>20.81</v>
      </c>
      <c r="W30" s="12" t="str">
        <f>IF(NOT(ISNUMBER(G30)),"",IF(G30&lt;Bands!$B$4,"Low",IF(G30&lt;Bands!$B$5,"Medium",IF(G30&lt;Bands!$B$6,"High","Very high"))))</f>
        <v>Low</v>
      </c>
      <c r="X30" s="12" t="str">
        <f>IF(NOT(ISNUMBER(R30)),"",IF(R30&lt;Bands!$B$4,"Low",IF(R30&lt;Bands!$B$5,"Medium",IF(R30&lt;Bands!$B$6,"High","Very high"))))</f>
        <v>Medium</v>
      </c>
      <c r="Z30" s="12" t="str">
        <f>IF(NOT(ISNUMBER(U30)),"",IF(U30&lt;Bands!$B$18,"Light",IF(U30&lt;Bands!$B$19,"Medium","Dark")))</f>
        <v>Medium</v>
      </c>
      <c r="AA30" s="12" t="str">
        <f>IF(W30="","",IFERROR(INDEX(Bands!$D$3:$D$6,MATCH(W30,Bands!$A$3:$A$6,0)),""))</f>
        <v>Pale yellow to light golden, even colour, no brown spots</v>
      </c>
      <c r="AB30" s="12" t="str">
        <f>IF(W30="","",IFERROR(INDEX(Bands!$J$3:$J$6,MATCH(W30,Bands!$A$3:$A$6,0)),""))</f>
        <v>Not deep golden-brown or reddish-brown (those match higher values). Avoid black or burnt chips.</v>
      </c>
      <c r="AC30" s="12" t="str">
        <f>IF(X30="","",IFERROR(INDEX(Bands!$D$3:$D$6,MATCH(X30,Bands!$A$3:$A$6,0)),""))</f>
        <v>Golden yellow with light brown at some edges or small spots</v>
      </c>
      <c r="AD30" s="12" t="str">
        <f>IF(X30="","",IFERROR(INDEX(Bands!$J$3:$J$6,MATCH(X30,Bands!$A$3:$A$6,0)),""))</f>
        <v>Not pale yellow (matches a low value) and not deep reddish-brown (matches a high value). Avoid black or burnt chips.</v>
      </c>
      <c r="AE30" s="12" t="str">
        <f>IF(W30="","","Ch4a_"&amp;TEXT(COUNT($G$2:G30),"000")&amp;"_"&amp;SUBSTITUTE(W30," ","-")&amp;"_"&amp;TEXT(G30,"0")&amp;".jpg")</f>
        <v>Ch4a_025_Low_274.jpg</v>
      </c>
      <c r="AF30" s="12" t="str">
        <f>IF(X30="","","Ch4b_"&amp;TEXT(COUNT($R$2:R30),"000")&amp;"_"&amp;SUBSTITUTE(X30," ","-")&amp;"_"&amp;TEXT(R30,"0")&amp;".jpg")</f>
        <v>Ch4b_025_Medium_999.jpg</v>
      </c>
    </row>
    <row r="31" spans="2:32" ht="12.75" customHeight="1" x14ac:dyDescent="0.25">
      <c r="B31" s="1"/>
      <c r="C31" s="1"/>
      <c r="D31" s="6" t="s">
        <v>11</v>
      </c>
      <c r="E31" s="9">
        <v>1.0087999999999999</v>
      </c>
      <c r="F31" s="9">
        <v>32.073565130005903</v>
      </c>
      <c r="G31" s="11">
        <v>317.937798671748</v>
      </c>
      <c r="H31" s="11"/>
      <c r="N31" s="2"/>
      <c r="O31" s="6" t="s">
        <v>11</v>
      </c>
      <c r="P31" s="9">
        <v>0.98809999999999998</v>
      </c>
      <c r="Q31" s="9">
        <v>105.470263146566</v>
      </c>
      <c r="R31" s="11">
        <v>1067.40474796646</v>
      </c>
      <c r="W31" s="12" t="str">
        <f>IF(NOT(ISNUMBER(G31)),"",IF(G31&lt;Bands!$B$4,"Low",IF(G31&lt;Bands!$B$5,"Medium",IF(G31&lt;Bands!$B$6,"High","Very high"))))</f>
        <v>Low</v>
      </c>
      <c r="X31" s="12" t="str">
        <f>IF(NOT(ISNUMBER(R31)),"",IF(R31&lt;Bands!$B$4,"Low",IF(R31&lt;Bands!$B$5,"Medium",IF(R31&lt;Bands!$B$6,"High","Very high"))))</f>
        <v>High</v>
      </c>
      <c r="AA31" s="12" t="str">
        <f>IF(W31="","",IFERROR(INDEX(Bands!$D$3:$D$6,MATCH(W31,Bands!$A$3:$A$6,0)),""))</f>
        <v>Pale yellow to light golden, even colour, no brown spots</v>
      </c>
      <c r="AB31" s="12" t="str">
        <f>IF(W31="","",IFERROR(INDEX(Bands!$J$3:$J$6,MATCH(W31,Bands!$A$3:$A$6,0)),""))</f>
        <v>Not deep golden-brown or reddish-brown (those match higher values). Avoid black or burnt chips.</v>
      </c>
      <c r="AC31" s="12" t="str">
        <f>IF(X31="","",IFERROR(INDEX(Bands!$D$3:$D$6,MATCH(X31,Bands!$A$3:$A$6,0)),""))</f>
        <v>Golden-brown with a reddish tint, brown edges, somewhat uneven</v>
      </c>
      <c r="AD31" s="12" t="str">
        <f>IF(X31="","",IFERROR(INDEX(Bands!$J$3:$J$6,MATCH(X31,Bands!$A$3:$A$6,0)),""))</f>
        <v>Not pale yellow, which would match a low value. Not black or burnt, since very dark chips can have lower acrylamide.</v>
      </c>
      <c r="AE31" s="12" t="str">
        <f>IF(W31="","","Ch4a_"&amp;TEXT(COUNT($G$2:G31),"000")&amp;"_"&amp;SUBSTITUTE(W31," ","-")&amp;"_"&amp;TEXT(G31,"0")&amp;".jpg")</f>
        <v>Ch4a_026_Low_318.jpg</v>
      </c>
      <c r="AF31" s="12" t="str">
        <f>IF(X31="","","Ch4b_"&amp;TEXT(COUNT($R$2:R31),"000")&amp;"_"&amp;SUBSTITUTE(X31," ","-")&amp;"_"&amp;TEXT(R31,"0")&amp;".jpg")</f>
        <v>Ch4b_026_High_1067.jpg</v>
      </c>
    </row>
    <row r="32" spans="2:32" ht="12.75" customHeight="1" x14ac:dyDescent="0.25">
      <c r="B32" s="1"/>
      <c r="C32" s="1"/>
      <c r="D32" s="6" t="s">
        <v>12</v>
      </c>
      <c r="E32" s="9">
        <v>1.0078</v>
      </c>
      <c r="F32" s="9">
        <v>41.060713841074097</v>
      </c>
      <c r="G32" s="11">
        <v>407.42919072310099</v>
      </c>
      <c r="H32" s="11"/>
      <c r="N32" s="2"/>
      <c r="O32" s="6" t="s">
        <v>12</v>
      </c>
      <c r="P32" s="9">
        <v>0.98140000000000005</v>
      </c>
      <c r="Q32" s="9">
        <v>18.4455799977016</v>
      </c>
      <c r="R32" s="11">
        <v>187.951701627284</v>
      </c>
      <c r="W32" s="12" t="str">
        <f>IF(NOT(ISNUMBER(G32)),"",IF(G32&lt;Bands!$B$4,"Low",IF(G32&lt;Bands!$B$5,"Medium",IF(G32&lt;Bands!$B$6,"High","Very high"))))</f>
        <v>Low</v>
      </c>
      <c r="X32" s="12" t="str">
        <f>IF(NOT(ISNUMBER(R32)),"",IF(R32&lt;Bands!$B$4,"Low",IF(R32&lt;Bands!$B$5,"Medium",IF(R32&lt;Bands!$B$6,"High","Very high"))))</f>
        <v>Low</v>
      </c>
      <c r="AA32" s="12" t="str">
        <f>IF(W32="","",IFERROR(INDEX(Bands!$D$3:$D$6,MATCH(W32,Bands!$A$3:$A$6,0)),""))</f>
        <v>Pale yellow to light golden, even colour, no brown spots</v>
      </c>
      <c r="AB32" s="12" t="str">
        <f>IF(W32="","",IFERROR(INDEX(Bands!$J$3:$J$6,MATCH(W32,Bands!$A$3:$A$6,0)),""))</f>
        <v>Not deep golden-brown or reddish-brown (those match higher values). Avoid black or burnt chips.</v>
      </c>
      <c r="AC32" s="12" t="str">
        <f>IF(X32="","",IFERROR(INDEX(Bands!$D$3:$D$6,MATCH(X32,Bands!$A$3:$A$6,0)),""))</f>
        <v>Pale yellow to light golden, even colour, no brown spots</v>
      </c>
      <c r="AD32" s="12" t="str">
        <f>IF(X32="","",IFERROR(INDEX(Bands!$J$3:$J$6,MATCH(X32,Bands!$A$3:$A$6,0)),""))</f>
        <v>Not deep golden-brown or reddish-brown (those match higher values). Avoid black or burnt chips.</v>
      </c>
      <c r="AE32" s="12" t="str">
        <f>IF(W32="","","Ch4a_"&amp;TEXT(COUNT($G$2:G32),"000")&amp;"_"&amp;SUBSTITUTE(W32," ","-")&amp;"_"&amp;TEXT(G32,"0")&amp;".jpg")</f>
        <v>Ch4a_027_Low_407.jpg</v>
      </c>
      <c r="AF32" s="12" t="str">
        <f>IF(X32="","","Ch4b_"&amp;TEXT(COUNT($R$2:R32),"000")&amp;"_"&amp;SUBSTITUTE(X32," ","-")&amp;"_"&amp;TEXT(R32,"0")&amp;".jpg")</f>
        <v>Ch4b_027_Low_188.jpg</v>
      </c>
    </row>
    <row r="33" spans="2:32" ht="12.75" customHeight="1" x14ac:dyDescent="0.25">
      <c r="B33" s="1"/>
      <c r="C33" s="1"/>
      <c r="D33" s="6" t="s">
        <v>13</v>
      </c>
      <c r="E33" s="9">
        <v>1.0027999999999999</v>
      </c>
      <c r="F33" s="9">
        <v>27.970663517596901</v>
      </c>
      <c r="G33" s="11">
        <v>278.92564337452001</v>
      </c>
      <c r="H33" s="11"/>
      <c r="N33" s="2"/>
      <c r="O33" s="6" t="s">
        <v>13</v>
      </c>
      <c r="P33" s="9">
        <v>1.0339</v>
      </c>
      <c r="Q33" s="9">
        <v>329.81925695100801</v>
      </c>
      <c r="R33" s="11">
        <v>3190.0498786246999</v>
      </c>
      <c r="W33" s="12" t="str">
        <f>IF(NOT(ISNUMBER(G33)),"",IF(G33&lt;Bands!$B$4,"Low",IF(G33&lt;Bands!$B$5,"Medium",IF(G33&lt;Bands!$B$6,"High","Very high"))))</f>
        <v>Low</v>
      </c>
      <c r="X33" s="12" t="str">
        <f>IF(NOT(ISNUMBER(R33)),"",IF(R33&lt;Bands!$B$4,"Low",IF(R33&lt;Bands!$B$5,"Medium",IF(R33&lt;Bands!$B$6,"High","Very high"))))</f>
        <v>Very high</v>
      </c>
      <c r="AA33" s="12" t="str">
        <f>IF(W33="","",IFERROR(INDEX(Bands!$D$3:$D$6,MATCH(W33,Bands!$A$3:$A$6,0)),""))</f>
        <v>Pale yellow to light golden, even colour, no brown spots</v>
      </c>
      <c r="AB33" s="12" t="str">
        <f>IF(W33="","",IFERROR(INDEX(Bands!$J$3:$J$6,MATCH(W33,Bands!$A$3:$A$6,0)),""))</f>
        <v>Not deep golden-brown or reddish-brown (those match higher values). Avoid black or burnt chips.</v>
      </c>
      <c r="AC33" s="12" t="str">
        <f>IF(X33="","",IFERROR(INDEX(Bands!$D$3:$D$6,MATCH(X33,Bands!$A$3:$A$6,0)),""))</f>
        <v>Deep golden-brown to medium brown with a reddish tone; edges darkest, centre golden or light brown</v>
      </c>
      <c r="AD33" s="12" t="str">
        <f>IF(X33="","",IFERROR(INDEX(Bands!$J$3:$J$6,MATCH(X33,Bands!$A$3:$A$6,0)),""))</f>
        <v>Not pale yellow, which would match a low value, or black and burnt, since very dark chips can have lower acrylamide.</v>
      </c>
      <c r="AE33" s="12" t="str">
        <f>IF(W33="","","Ch4a_"&amp;TEXT(COUNT($G$2:G33),"000")&amp;"_"&amp;SUBSTITUTE(W33," ","-")&amp;"_"&amp;TEXT(G33,"0")&amp;".jpg")</f>
        <v>Ch4a_028_Low_279.jpg</v>
      </c>
      <c r="AF33" s="12" t="str">
        <f>IF(X33="","","Ch4b_"&amp;TEXT(COUNT($R$2:R33),"000")&amp;"_"&amp;SUBSTITUTE(X33," ","-")&amp;"_"&amp;TEXT(R33,"0")&amp;".jpg")</f>
        <v>Ch4b_028_Very-high_3190.jpg</v>
      </c>
    </row>
    <row r="34" spans="2:32" ht="12.75" customHeight="1" x14ac:dyDescent="0.25">
      <c r="B34" s="1"/>
      <c r="C34" s="1"/>
      <c r="D34" s="6" t="s">
        <v>14</v>
      </c>
      <c r="E34" s="9">
        <v>1.0008999999999999</v>
      </c>
      <c r="F34" s="9">
        <v>15.513434704433299</v>
      </c>
      <c r="G34" s="11">
        <v>154.99485167782299</v>
      </c>
      <c r="H34" s="11"/>
      <c r="N34" s="2"/>
      <c r="O34" s="6" t="s">
        <v>14</v>
      </c>
      <c r="P34" s="9">
        <v>1.0039</v>
      </c>
      <c r="Q34" s="9">
        <v>27.321168427358</v>
      </c>
      <c r="R34" s="11">
        <v>272.15029811094701</v>
      </c>
      <c r="T34" s="3">
        <v>34.130000000000003</v>
      </c>
      <c r="U34" s="3">
        <v>2.23</v>
      </c>
      <c r="V34" s="3">
        <v>16.07</v>
      </c>
      <c r="W34" s="12" t="str">
        <f>IF(NOT(ISNUMBER(G34)),"",IF(G34&lt;Bands!$B$4,"Low",IF(G34&lt;Bands!$B$5,"Medium",IF(G34&lt;Bands!$B$6,"High","Very high"))))</f>
        <v>Low</v>
      </c>
      <c r="X34" s="12" t="str">
        <f>IF(NOT(ISNUMBER(R34)),"",IF(R34&lt;Bands!$B$4,"Low",IF(R34&lt;Bands!$B$5,"Medium",IF(R34&lt;Bands!$B$6,"High","Very high"))))</f>
        <v>Low</v>
      </c>
      <c r="Z34" s="12" t="str">
        <f>IF(NOT(ISNUMBER(U34)),"",IF(U34&lt;Bands!$B$18,"Light",IF(U34&lt;Bands!$B$19,"Medium","Dark")))</f>
        <v>Light</v>
      </c>
      <c r="AA34" s="12" t="str">
        <f>IF(W34="","",IFERROR(INDEX(Bands!$D$3:$D$6,MATCH(W34,Bands!$A$3:$A$6,0)),""))</f>
        <v>Pale yellow to light golden, even colour, no brown spots</v>
      </c>
      <c r="AB34" s="12" t="str">
        <f>IF(W34="","",IFERROR(INDEX(Bands!$J$3:$J$6,MATCH(W34,Bands!$A$3:$A$6,0)),""))</f>
        <v>Not deep golden-brown or reddish-brown (those match higher values). Avoid black or burnt chips.</v>
      </c>
      <c r="AC34" s="12" t="str">
        <f>IF(X34="","",IFERROR(INDEX(Bands!$D$3:$D$6,MATCH(X34,Bands!$A$3:$A$6,0)),""))</f>
        <v>Pale yellow to light golden, even colour, no brown spots</v>
      </c>
      <c r="AD34" s="12" t="str">
        <f>IF(X34="","",IFERROR(INDEX(Bands!$J$3:$J$6,MATCH(X34,Bands!$A$3:$A$6,0)),""))</f>
        <v>Not deep golden-brown or reddish-brown (those match higher values). Avoid black or burnt chips.</v>
      </c>
      <c r="AE34" s="12" t="str">
        <f>IF(W34="","","Ch4a_"&amp;TEXT(COUNT($G$2:G34),"000")&amp;"_"&amp;SUBSTITUTE(W34," ","-")&amp;"_"&amp;TEXT(G34,"0")&amp;".jpg")</f>
        <v>Ch4a_029_Low_155.jpg</v>
      </c>
      <c r="AF34" s="12" t="str">
        <f>IF(X34="","","Ch4b_"&amp;TEXT(COUNT($R$2:R34),"000")&amp;"_"&amp;SUBSTITUTE(X34," ","-")&amp;"_"&amp;TEXT(R34,"0")&amp;".jpg")</f>
        <v>Ch4b_029_Low_272.jpg</v>
      </c>
    </row>
    <row r="35" spans="2:32" ht="12.75" customHeight="1" x14ac:dyDescent="0.25">
      <c r="B35" s="1"/>
      <c r="C35" s="1"/>
      <c r="D35" s="6" t="s">
        <v>15</v>
      </c>
      <c r="E35" s="9">
        <v>1.0052000000000001</v>
      </c>
      <c r="F35" s="9">
        <v>26.1873567216855</v>
      </c>
      <c r="G35" s="11">
        <v>260.51886909754802</v>
      </c>
      <c r="H35" s="11"/>
      <c r="N35" s="2"/>
      <c r="O35" s="6" t="s">
        <v>15</v>
      </c>
      <c r="P35" s="9">
        <v>0.98780000000000001</v>
      </c>
      <c r="Q35" s="9">
        <v>30.7613108379627</v>
      </c>
      <c r="R35" s="11">
        <v>311.41233891438299</v>
      </c>
      <c r="T35" s="3">
        <v>29.93</v>
      </c>
      <c r="U35" s="3">
        <v>2.48</v>
      </c>
      <c r="V35" s="3">
        <v>14.6</v>
      </c>
      <c r="W35" s="12" t="str">
        <f>IF(NOT(ISNUMBER(G35)),"",IF(G35&lt;Bands!$B$4,"Low",IF(G35&lt;Bands!$B$5,"Medium",IF(G35&lt;Bands!$B$6,"High","Very high"))))</f>
        <v>Low</v>
      </c>
      <c r="X35" s="12" t="str">
        <f>IF(NOT(ISNUMBER(R35)),"",IF(R35&lt;Bands!$B$4,"Low",IF(R35&lt;Bands!$B$5,"Medium",IF(R35&lt;Bands!$B$6,"High","Very high"))))</f>
        <v>Low</v>
      </c>
      <c r="Z35" s="12" t="str">
        <f>IF(NOT(ISNUMBER(U35)),"",IF(U35&lt;Bands!$B$18,"Light",IF(U35&lt;Bands!$B$19,"Medium","Dark")))</f>
        <v>Light</v>
      </c>
      <c r="AA35" s="12" t="str">
        <f>IF(W35="","",IFERROR(INDEX(Bands!$D$3:$D$6,MATCH(W35,Bands!$A$3:$A$6,0)),""))</f>
        <v>Pale yellow to light golden, even colour, no brown spots</v>
      </c>
      <c r="AB35" s="12" t="str">
        <f>IF(W35="","",IFERROR(INDEX(Bands!$J$3:$J$6,MATCH(W35,Bands!$A$3:$A$6,0)),""))</f>
        <v>Not deep golden-brown or reddish-brown (those match higher values). Avoid black or burnt chips.</v>
      </c>
      <c r="AC35" s="12" t="str">
        <f>IF(X35="","",IFERROR(INDEX(Bands!$D$3:$D$6,MATCH(X35,Bands!$A$3:$A$6,0)),""))</f>
        <v>Pale yellow to light golden, even colour, no brown spots</v>
      </c>
      <c r="AD35" s="12" t="str">
        <f>IF(X35="","",IFERROR(INDEX(Bands!$J$3:$J$6,MATCH(X35,Bands!$A$3:$A$6,0)),""))</f>
        <v>Not deep golden-brown or reddish-brown (those match higher values). Avoid black or burnt chips.</v>
      </c>
      <c r="AE35" s="12" t="str">
        <f>IF(W35="","","Ch4a_"&amp;TEXT(COUNT($G$2:G35),"000")&amp;"_"&amp;SUBSTITUTE(W35," ","-")&amp;"_"&amp;TEXT(G35,"0")&amp;".jpg")</f>
        <v>Ch4a_030_Low_261.jpg</v>
      </c>
      <c r="AF35" s="12" t="str">
        <f>IF(X35="","","Ch4b_"&amp;TEXT(COUNT($R$2:R35),"000")&amp;"_"&amp;SUBSTITUTE(X35," ","-")&amp;"_"&amp;TEXT(R35,"0")&amp;".jpg")</f>
        <v>Ch4b_030_Low_311.jpg</v>
      </c>
    </row>
    <row r="36" spans="2:32" ht="12.75" customHeight="1" x14ac:dyDescent="0.25">
      <c r="E36" s="9"/>
      <c r="F36" s="9"/>
      <c r="G36" s="11"/>
      <c r="H36" s="11"/>
      <c r="I36" s="11"/>
      <c r="J36" s="11"/>
      <c r="K36" s="11"/>
      <c r="L36" s="11"/>
    </row>
    <row r="37" spans="2:32" ht="12.75" customHeight="1" x14ac:dyDescent="0.25">
      <c r="B37" s="1" t="s">
        <v>84</v>
      </c>
      <c r="C37" s="2" t="s">
        <v>78</v>
      </c>
      <c r="D37" s="6" t="s">
        <v>10</v>
      </c>
      <c r="E37" s="9">
        <v>1.0053000000000001</v>
      </c>
      <c r="F37" s="9">
        <v>53.570263498300697</v>
      </c>
      <c r="G37" s="11">
        <v>532.87837957127897</v>
      </c>
      <c r="H37" s="11"/>
      <c r="I37" s="11"/>
      <c r="J37" s="11"/>
      <c r="K37" s="11"/>
      <c r="L37" s="11"/>
      <c r="N37" s="2" t="s">
        <v>85</v>
      </c>
      <c r="O37" s="6" t="s">
        <v>10</v>
      </c>
      <c r="P37" s="9">
        <v>1.0016</v>
      </c>
      <c r="Q37" s="9">
        <v>110.410236351554</v>
      </c>
      <c r="R37" s="11">
        <v>1102.3386217207899</v>
      </c>
      <c r="T37" s="3">
        <v>39.83</v>
      </c>
      <c r="U37" s="3">
        <v>4.7699999999999996</v>
      </c>
      <c r="V37" s="3">
        <v>21.84</v>
      </c>
      <c r="W37" s="12" t="str">
        <f>IF(NOT(ISNUMBER(G37)),"",IF(G37&lt;Bands!$B$4,"Low",IF(G37&lt;Bands!$B$5,"Medium",IF(G37&lt;Bands!$B$6,"High","Very high"))))</f>
        <v>Medium</v>
      </c>
      <c r="X37" s="12" t="str">
        <f>IF(NOT(ISNUMBER(R37)),"",IF(R37&lt;Bands!$B$4,"Low",IF(R37&lt;Bands!$B$5,"Medium",IF(R37&lt;Bands!$B$6,"High","Very high"))))</f>
        <v>High</v>
      </c>
      <c r="Z37" s="12" t="str">
        <f>IF(NOT(ISNUMBER(U37)),"",IF(U37&lt;Bands!$B$18,"Light",IF(U37&lt;Bands!$B$19,"Medium","Dark")))</f>
        <v>Medium</v>
      </c>
      <c r="AA37" s="12" t="str">
        <f>IF(W37="","",IFERROR(INDEX(Bands!$D$3:$D$6,MATCH(W37,Bands!$A$3:$A$6,0)),""))</f>
        <v>Golden yellow with light brown at some edges or small spots</v>
      </c>
      <c r="AB37" s="12" t="str">
        <f>IF(W37="","",IFERROR(INDEX(Bands!$J$3:$J$6,MATCH(W37,Bands!$A$3:$A$6,0)),""))</f>
        <v>Not pale yellow (matches a low value) and not deep reddish-brown (matches a high value). Avoid black or burnt chips.</v>
      </c>
      <c r="AC37" s="12" t="str">
        <f>IF(X37="","",IFERROR(INDEX(Bands!$D$3:$D$6,MATCH(X37,Bands!$A$3:$A$6,0)),""))</f>
        <v>Golden-brown with a reddish tint, brown edges, somewhat uneven</v>
      </c>
      <c r="AD37" s="12" t="str">
        <f>IF(X37="","",IFERROR(INDEX(Bands!$J$3:$J$6,MATCH(X37,Bands!$A$3:$A$6,0)),""))</f>
        <v>Not pale yellow, which would match a low value. Not black or burnt, since very dark chips can have lower acrylamide.</v>
      </c>
      <c r="AE37" s="12" t="str">
        <f>IF(W37="","","Ch4a_"&amp;TEXT(COUNT($G$2:G37),"000")&amp;"_"&amp;SUBSTITUTE(W37," ","-")&amp;"_"&amp;TEXT(G37,"0")&amp;".jpg")</f>
        <v>Ch4a_031_Medium_533.jpg</v>
      </c>
      <c r="AF37" s="12" t="str">
        <f>IF(X37="","","Ch4b_"&amp;TEXT(COUNT($R$2:R37),"000")&amp;"_"&amp;SUBSTITUTE(X37," ","-")&amp;"_"&amp;TEXT(R37,"0")&amp;".jpg")</f>
        <v>Ch4b_031_High_1102.jpg</v>
      </c>
    </row>
    <row r="38" spans="2:32" ht="12.75" customHeight="1" x14ac:dyDescent="0.25">
      <c r="B38" s="1"/>
      <c r="C38" s="1"/>
      <c r="D38" s="6" t="s">
        <v>11</v>
      </c>
      <c r="E38" s="9">
        <v>1.0016</v>
      </c>
      <c r="F38" s="9">
        <v>64.772169667732499</v>
      </c>
      <c r="G38" s="11">
        <v>646.68699748135498</v>
      </c>
      <c r="H38" s="11"/>
      <c r="I38" s="11">
        <v>32.549999999999997</v>
      </c>
      <c r="J38" s="11">
        <v>3.68</v>
      </c>
      <c r="K38" s="11">
        <v>18.940000000000001</v>
      </c>
      <c r="L38" s="11"/>
      <c r="N38" s="2"/>
      <c r="O38" s="6" t="s">
        <v>11</v>
      </c>
      <c r="P38" s="9">
        <v>0.98029999999999995</v>
      </c>
      <c r="Q38" s="9">
        <v>27.4662310874102</v>
      </c>
      <c r="R38" s="11">
        <v>280.181894189638</v>
      </c>
      <c r="W38" s="12" t="str">
        <f>IF(NOT(ISNUMBER(G38)),"",IF(G38&lt;Bands!$B$4,"Low",IF(G38&lt;Bands!$B$5,"Medium",IF(G38&lt;Bands!$B$6,"High","Very high"))))</f>
        <v>Medium</v>
      </c>
      <c r="X38" s="12" t="str">
        <f>IF(NOT(ISNUMBER(R38)),"",IF(R38&lt;Bands!$B$4,"Low",IF(R38&lt;Bands!$B$5,"Medium",IF(R38&lt;Bands!$B$6,"High","Very high"))))</f>
        <v>Low</v>
      </c>
      <c r="Y38" s="12" t="str">
        <f>IF(NOT(ISNUMBER(J38)),"",IF(J38&lt;Bands!$B$18,"Light",IF(J38&lt;Bands!$B$19,"Medium","Dark")))</f>
        <v>Medium</v>
      </c>
      <c r="AA38" s="12" t="str">
        <f>IF(W38="","",IFERROR(INDEX(Bands!$D$3:$D$6,MATCH(W38,Bands!$A$3:$A$6,0)),""))</f>
        <v>Golden yellow with light brown at some edges or small spots</v>
      </c>
      <c r="AB38" s="12" t="str">
        <f>IF(W38="","",IFERROR(INDEX(Bands!$J$3:$J$6,MATCH(W38,Bands!$A$3:$A$6,0)),""))</f>
        <v>Not pale yellow (matches a low value) and not deep reddish-brown (matches a high value). Avoid black or burnt chips.</v>
      </c>
      <c r="AC38" s="12" t="str">
        <f>IF(X38="","",IFERROR(INDEX(Bands!$D$3:$D$6,MATCH(X38,Bands!$A$3:$A$6,0)),""))</f>
        <v>Pale yellow to light golden, even colour, no brown spots</v>
      </c>
      <c r="AD38" s="12" t="str">
        <f>IF(X38="","",IFERROR(INDEX(Bands!$J$3:$J$6,MATCH(X38,Bands!$A$3:$A$6,0)),""))</f>
        <v>Not deep golden-brown or reddish-brown (those match higher values). Avoid black or burnt chips.</v>
      </c>
      <c r="AE38" s="12" t="str">
        <f>IF(W38="","","Ch4a_"&amp;TEXT(COUNT($G$2:G38),"000")&amp;"_"&amp;SUBSTITUTE(W38," ","-")&amp;"_"&amp;TEXT(G38,"0")&amp;".jpg")</f>
        <v>Ch4a_032_Medium_647.jpg</v>
      </c>
      <c r="AF38" s="12" t="str">
        <f>IF(X38="","","Ch4b_"&amp;TEXT(COUNT($R$2:R38),"000")&amp;"_"&amp;SUBSTITUTE(X38," ","-")&amp;"_"&amp;TEXT(R38,"0")&amp;".jpg")</f>
        <v>Ch4b_032_Low_280.jpg</v>
      </c>
    </row>
    <row r="39" spans="2:32" ht="12.75" customHeight="1" x14ac:dyDescent="0.25">
      <c r="B39" s="1"/>
      <c r="C39" s="1"/>
      <c r="D39" s="6" t="s">
        <v>12</v>
      </c>
      <c r="E39" s="9">
        <v>1</v>
      </c>
      <c r="F39" s="9">
        <v>169.06630549251801</v>
      </c>
      <c r="G39" s="11">
        <v>1690.6630549251799</v>
      </c>
      <c r="H39" s="11"/>
      <c r="I39" s="11"/>
      <c r="J39" s="11"/>
      <c r="K39" s="11"/>
      <c r="L39" s="11"/>
      <c r="N39" s="2"/>
      <c r="O39" s="6" t="s">
        <v>12</v>
      </c>
      <c r="P39" s="9">
        <v>0.99299999999999999</v>
      </c>
      <c r="Q39" s="9">
        <v>19.8391826054578</v>
      </c>
      <c r="R39" s="11">
        <v>199.79035856453001</v>
      </c>
      <c r="T39" s="3">
        <v>30.91</v>
      </c>
      <c r="U39" s="3">
        <v>2.85</v>
      </c>
      <c r="V39" s="3">
        <v>17.2</v>
      </c>
      <c r="W39" s="12" t="str">
        <f>IF(NOT(ISNUMBER(G39)),"",IF(G39&lt;Bands!$B$4,"Low",IF(G39&lt;Bands!$B$5,"Medium",IF(G39&lt;Bands!$B$6,"High","Very high"))))</f>
        <v>High</v>
      </c>
      <c r="X39" s="12" t="str">
        <f>IF(NOT(ISNUMBER(R39)),"",IF(R39&lt;Bands!$B$4,"Low",IF(R39&lt;Bands!$B$5,"Medium",IF(R39&lt;Bands!$B$6,"High","Very high"))))</f>
        <v>Low</v>
      </c>
      <c r="Z39" s="12" t="str">
        <f>IF(NOT(ISNUMBER(U39)),"",IF(U39&lt;Bands!$B$18,"Light",IF(U39&lt;Bands!$B$19,"Medium","Dark")))</f>
        <v>Light</v>
      </c>
      <c r="AA39" s="12" t="str">
        <f>IF(W39="","",IFERROR(INDEX(Bands!$D$3:$D$6,MATCH(W39,Bands!$A$3:$A$6,0)),""))</f>
        <v>Golden-brown with a reddish tint, brown edges, somewhat uneven</v>
      </c>
      <c r="AB39" s="12" t="str">
        <f>IF(W39="","",IFERROR(INDEX(Bands!$J$3:$J$6,MATCH(W39,Bands!$A$3:$A$6,0)),""))</f>
        <v>Not pale yellow, which would match a low value. Not black or burnt, since very dark chips can have lower acrylamide.</v>
      </c>
      <c r="AC39" s="12" t="str">
        <f>IF(X39="","",IFERROR(INDEX(Bands!$D$3:$D$6,MATCH(X39,Bands!$A$3:$A$6,0)),""))</f>
        <v>Pale yellow to light golden, even colour, no brown spots</v>
      </c>
      <c r="AD39" s="12" t="str">
        <f>IF(X39="","",IFERROR(INDEX(Bands!$J$3:$J$6,MATCH(X39,Bands!$A$3:$A$6,0)),""))</f>
        <v>Not deep golden-brown or reddish-brown (those match higher values). Avoid black or burnt chips.</v>
      </c>
      <c r="AE39" s="12" t="str">
        <f>IF(W39="","","Ch4a_"&amp;TEXT(COUNT($G$2:G39),"000")&amp;"_"&amp;SUBSTITUTE(W39," ","-")&amp;"_"&amp;TEXT(G39,"0")&amp;".jpg")</f>
        <v>Ch4a_033_High_1691.jpg</v>
      </c>
      <c r="AF39" s="12" t="str">
        <f>IF(X39="","","Ch4b_"&amp;TEXT(COUNT($R$2:R39),"000")&amp;"_"&amp;SUBSTITUTE(X39," ","-")&amp;"_"&amp;TEXT(R39,"0")&amp;".jpg")</f>
        <v>Ch4b_033_Low_200.jpg</v>
      </c>
    </row>
    <row r="40" spans="2:32" ht="12.75" customHeight="1" x14ac:dyDescent="0.25">
      <c r="B40" s="1"/>
      <c r="C40" s="1"/>
      <c r="D40" s="6" t="s">
        <v>13</v>
      </c>
      <c r="E40" s="9">
        <v>1</v>
      </c>
      <c r="F40" s="9">
        <v>16.773068551979801</v>
      </c>
      <c r="G40" s="11">
        <v>167.73068551979799</v>
      </c>
      <c r="H40" s="11"/>
      <c r="I40" s="11">
        <v>36.18</v>
      </c>
      <c r="J40" s="11">
        <v>3.26</v>
      </c>
      <c r="K40" s="11">
        <v>19.760000000000002</v>
      </c>
      <c r="L40" s="11"/>
      <c r="N40" s="2"/>
      <c r="O40" s="6" t="s">
        <v>13</v>
      </c>
      <c r="P40" s="9">
        <v>1.034</v>
      </c>
      <c r="Q40" s="9">
        <v>338.51148398448697</v>
      </c>
      <c r="R40" s="11">
        <v>3273.8054543954299</v>
      </c>
      <c r="T40" s="3">
        <v>32.880000000000003</v>
      </c>
      <c r="U40" s="3">
        <v>5.93</v>
      </c>
      <c r="V40" s="3">
        <v>20.78</v>
      </c>
      <c r="W40" s="12" t="str">
        <f>IF(NOT(ISNUMBER(G40)),"",IF(G40&lt;Bands!$B$4,"Low",IF(G40&lt;Bands!$B$5,"Medium",IF(G40&lt;Bands!$B$6,"High","Very high"))))</f>
        <v>Low</v>
      </c>
      <c r="X40" s="12" t="str">
        <f>IF(NOT(ISNUMBER(R40)),"",IF(R40&lt;Bands!$B$4,"Low",IF(R40&lt;Bands!$B$5,"Medium",IF(R40&lt;Bands!$B$6,"High","Very high"))))</f>
        <v>Very high</v>
      </c>
      <c r="Y40" s="12" t="str">
        <f>IF(NOT(ISNUMBER(J40)),"",IF(J40&lt;Bands!$B$18,"Light",IF(J40&lt;Bands!$B$19,"Medium","Dark")))</f>
        <v>Medium</v>
      </c>
      <c r="Z40" s="12" t="str">
        <f>IF(NOT(ISNUMBER(U40)),"",IF(U40&lt;Bands!$B$18,"Light",IF(U40&lt;Bands!$B$19,"Medium","Dark")))</f>
        <v>Dark</v>
      </c>
      <c r="AA40" s="12" t="str">
        <f>IF(W40="","",IFERROR(INDEX(Bands!$D$3:$D$6,MATCH(W40,Bands!$A$3:$A$6,0)),""))</f>
        <v>Pale yellow to light golden, even colour, no brown spots</v>
      </c>
      <c r="AB40" s="12" t="str">
        <f>IF(W40="","",IFERROR(INDEX(Bands!$J$3:$J$6,MATCH(W40,Bands!$A$3:$A$6,0)),""))</f>
        <v>Not deep golden-brown or reddish-brown (those match higher values). Avoid black or burnt chips.</v>
      </c>
      <c r="AC40" s="12" t="str">
        <f>IF(X40="","",IFERROR(INDEX(Bands!$D$3:$D$6,MATCH(X40,Bands!$A$3:$A$6,0)),""))</f>
        <v>Deep golden-brown to medium brown with a reddish tone; edges darkest, centre golden or light brown</v>
      </c>
      <c r="AD40" s="12" t="str">
        <f>IF(X40="","",IFERROR(INDEX(Bands!$J$3:$J$6,MATCH(X40,Bands!$A$3:$A$6,0)),""))</f>
        <v>Not pale yellow, which would match a low value, or black and burnt, since very dark chips can have lower acrylamide.</v>
      </c>
      <c r="AE40" s="12" t="str">
        <f>IF(W40="","","Ch4a_"&amp;TEXT(COUNT($G$2:G40),"000")&amp;"_"&amp;SUBSTITUTE(W40," ","-")&amp;"_"&amp;TEXT(G40,"0")&amp;".jpg")</f>
        <v>Ch4a_034_Low_168.jpg</v>
      </c>
      <c r="AF40" s="12" t="str">
        <f>IF(X40="","","Ch4b_"&amp;TEXT(COUNT($R$2:R40),"000")&amp;"_"&amp;SUBSTITUTE(X40," ","-")&amp;"_"&amp;TEXT(R40,"0")&amp;".jpg")</f>
        <v>Ch4b_034_Very-high_3274.jpg</v>
      </c>
    </row>
    <row r="41" spans="2:32" ht="12.75" customHeight="1" x14ac:dyDescent="0.25">
      <c r="B41" s="1"/>
      <c r="C41" s="1"/>
      <c r="D41" s="6" t="s">
        <v>14</v>
      </c>
      <c r="E41" s="9">
        <v>1.0002</v>
      </c>
      <c r="F41" s="9">
        <v>30.570420269305799</v>
      </c>
      <c r="G41" s="11">
        <v>305.64307407824202</v>
      </c>
      <c r="H41" s="11"/>
      <c r="I41" s="11"/>
      <c r="J41" s="11"/>
      <c r="K41" s="11"/>
      <c r="L41" s="11"/>
      <c r="N41" s="2"/>
      <c r="O41" s="6" t="s">
        <v>14</v>
      </c>
      <c r="P41" s="9">
        <v>1.0099</v>
      </c>
      <c r="Q41" s="9">
        <v>29.955205399905399</v>
      </c>
      <c r="R41" s="11">
        <v>296.61555995549497</v>
      </c>
      <c r="W41" s="12" t="str">
        <f>IF(NOT(ISNUMBER(G41)),"",IF(G41&lt;Bands!$B$4,"Low",IF(G41&lt;Bands!$B$5,"Medium",IF(G41&lt;Bands!$B$6,"High","Very high"))))</f>
        <v>Low</v>
      </c>
      <c r="X41" s="12" t="str">
        <f>IF(NOT(ISNUMBER(R41)),"",IF(R41&lt;Bands!$B$4,"Low",IF(R41&lt;Bands!$B$5,"Medium",IF(R41&lt;Bands!$B$6,"High","Very high"))))</f>
        <v>Low</v>
      </c>
      <c r="AA41" s="12" t="str">
        <f>IF(W41="","",IFERROR(INDEX(Bands!$D$3:$D$6,MATCH(W41,Bands!$A$3:$A$6,0)),""))</f>
        <v>Pale yellow to light golden, even colour, no brown spots</v>
      </c>
      <c r="AB41" s="12" t="str">
        <f>IF(W41="","",IFERROR(INDEX(Bands!$J$3:$J$6,MATCH(W41,Bands!$A$3:$A$6,0)),""))</f>
        <v>Not deep golden-brown or reddish-brown (those match higher values). Avoid black or burnt chips.</v>
      </c>
      <c r="AC41" s="12" t="str">
        <f>IF(X41="","",IFERROR(INDEX(Bands!$D$3:$D$6,MATCH(X41,Bands!$A$3:$A$6,0)),""))</f>
        <v>Pale yellow to light golden, even colour, no brown spots</v>
      </c>
      <c r="AD41" s="12" t="str">
        <f>IF(X41="","",IFERROR(INDEX(Bands!$J$3:$J$6,MATCH(X41,Bands!$A$3:$A$6,0)),""))</f>
        <v>Not deep golden-brown or reddish-brown (those match higher values). Avoid black or burnt chips.</v>
      </c>
      <c r="AE41" s="12" t="str">
        <f>IF(W41="","","Ch4a_"&amp;TEXT(COUNT($G$2:G41),"000")&amp;"_"&amp;SUBSTITUTE(W41," ","-")&amp;"_"&amp;TEXT(G41,"0")&amp;".jpg")</f>
        <v>Ch4a_035_Low_306.jpg</v>
      </c>
      <c r="AF41" s="12" t="str">
        <f>IF(X41="","","Ch4b_"&amp;TEXT(COUNT($R$2:R41),"000")&amp;"_"&amp;SUBSTITUTE(X41," ","-")&amp;"_"&amp;TEXT(R41,"0")&amp;".jpg")</f>
        <v>Ch4b_035_Low_297.jpg</v>
      </c>
    </row>
    <row r="42" spans="2:32" ht="12.75" customHeight="1" x14ac:dyDescent="0.25">
      <c r="B42" s="1"/>
      <c r="C42" s="1"/>
      <c r="D42" s="6" t="s">
        <v>15</v>
      </c>
      <c r="E42" s="9">
        <v>1.0015000000000001</v>
      </c>
      <c r="F42" s="9">
        <v>25.266053270095401</v>
      </c>
      <c r="G42" s="11">
        <v>252.28210953664899</v>
      </c>
      <c r="H42" s="11"/>
      <c r="I42" s="11">
        <v>38.119999999999997</v>
      </c>
      <c r="J42" s="11">
        <v>3.28</v>
      </c>
      <c r="K42" s="11">
        <v>20.88</v>
      </c>
      <c r="L42" s="11"/>
      <c r="N42" s="2"/>
      <c r="O42" s="6" t="s">
        <v>15</v>
      </c>
      <c r="P42" s="9">
        <v>1.0190999999999999</v>
      </c>
      <c r="Q42" s="9">
        <v>87.564328604084494</v>
      </c>
      <c r="R42" s="11">
        <v>859.23195568721906</v>
      </c>
      <c r="W42" s="12" t="str">
        <f>IF(NOT(ISNUMBER(G42)),"",IF(G42&lt;Bands!$B$4,"Low",IF(G42&lt;Bands!$B$5,"Medium",IF(G42&lt;Bands!$B$6,"High","Very high"))))</f>
        <v>Low</v>
      </c>
      <c r="X42" s="12" t="str">
        <f>IF(NOT(ISNUMBER(R42)),"",IF(R42&lt;Bands!$B$4,"Low",IF(R42&lt;Bands!$B$5,"Medium",IF(R42&lt;Bands!$B$6,"High","Very high"))))</f>
        <v>Medium</v>
      </c>
      <c r="Y42" s="12" t="str">
        <f>IF(NOT(ISNUMBER(J42)),"",IF(J42&lt;Bands!$B$18,"Light",IF(J42&lt;Bands!$B$19,"Medium","Dark")))</f>
        <v>Medium</v>
      </c>
      <c r="AA42" s="12" t="str">
        <f>IF(W42="","",IFERROR(INDEX(Bands!$D$3:$D$6,MATCH(W42,Bands!$A$3:$A$6,0)),""))</f>
        <v>Pale yellow to light golden, even colour, no brown spots</v>
      </c>
      <c r="AB42" s="12" t="str">
        <f>IF(W42="","",IFERROR(INDEX(Bands!$J$3:$J$6,MATCH(W42,Bands!$A$3:$A$6,0)),""))</f>
        <v>Not deep golden-brown or reddish-brown (those match higher values). Avoid black or burnt chips.</v>
      </c>
      <c r="AC42" s="12" t="str">
        <f>IF(X42="","",IFERROR(INDEX(Bands!$D$3:$D$6,MATCH(X42,Bands!$A$3:$A$6,0)),""))</f>
        <v>Golden yellow with light brown at some edges or small spots</v>
      </c>
      <c r="AD42" s="12" t="str">
        <f>IF(X42="","",IFERROR(INDEX(Bands!$J$3:$J$6,MATCH(X42,Bands!$A$3:$A$6,0)),""))</f>
        <v>Not pale yellow (matches a low value) and not deep reddish-brown (matches a high value). Avoid black or burnt chips.</v>
      </c>
      <c r="AE42" s="12" t="str">
        <f>IF(W42="","","Ch4a_"&amp;TEXT(COUNT($G$2:G42),"000")&amp;"_"&amp;SUBSTITUTE(W42," ","-")&amp;"_"&amp;TEXT(G42,"0")&amp;".jpg")</f>
        <v>Ch4a_036_Low_252.jpg</v>
      </c>
      <c r="AF42" s="12" t="str">
        <f>IF(X42="","","Ch4b_"&amp;TEXT(COUNT($R$2:R42),"000")&amp;"_"&amp;SUBSTITUTE(X42," ","-")&amp;"_"&amp;TEXT(R42,"0")&amp;".jpg")</f>
        <v>Ch4b_036_Medium_859.jpg</v>
      </c>
    </row>
    <row r="43" spans="2:32" ht="12.75" customHeight="1" x14ac:dyDescent="0.25">
      <c r="B43" s="1"/>
      <c r="E43" s="9"/>
      <c r="F43" s="9"/>
      <c r="G43" s="11"/>
      <c r="H43" s="11"/>
      <c r="I43" s="11"/>
      <c r="J43" s="11"/>
      <c r="K43" s="11"/>
      <c r="L43" s="11"/>
    </row>
    <row r="44" spans="2:32" ht="12.75" customHeight="1" x14ac:dyDescent="0.25">
      <c r="B44" s="1"/>
      <c r="C44" s="2" t="s">
        <v>76</v>
      </c>
      <c r="D44" s="6" t="s">
        <v>10</v>
      </c>
      <c r="E44" s="9">
        <v>1.0002</v>
      </c>
      <c r="F44" s="9">
        <v>24.061376698513499</v>
      </c>
      <c r="G44" s="11">
        <v>240.565653854364</v>
      </c>
      <c r="H44" s="11"/>
      <c r="I44" s="11"/>
      <c r="J44" s="11"/>
      <c r="K44" s="11"/>
      <c r="L44" s="11"/>
      <c r="W44" s="12" t="str">
        <f>IF(NOT(ISNUMBER(G44)),"",IF(G44&lt;Bands!$B$4,"Low",IF(G44&lt;Bands!$B$5,"Medium",IF(G44&lt;Bands!$B$6,"High","Very high"))))</f>
        <v>Low</v>
      </c>
      <c r="AA44" s="12" t="str">
        <f>IF(W44="","",IFERROR(INDEX(Bands!$D$3:$D$6,MATCH(W44,Bands!$A$3:$A$6,0)),""))</f>
        <v>Pale yellow to light golden, even colour, no brown spots</v>
      </c>
      <c r="AB44" s="12" t="str">
        <f>IF(W44="","",IFERROR(INDEX(Bands!$J$3:$J$6,MATCH(W44,Bands!$A$3:$A$6,0)),""))</f>
        <v>Not deep golden-brown or reddish-brown (those match higher values). Avoid black or burnt chips.</v>
      </c>
      <c r="AE44" s="12" t="str">
        <f>IF(W44="","","Ch4a_"&amp;TEXT(COUNT($G$2:G44),"000")&amp;"_"&amp;SUBSTITUTE(W44," ","-")&amp;"_"&amp;TEXT(G44,"0")&amp;".jpg")</f>
        <v>Ch4a_037_Low_241.jpg</v>
      </c>
    </row>
    <row r="45" spans="2:32" ht="12.75" customHeight="1" x14ac:dyDescent="0.25">
      <c r="B45" s="1"/>
      <c r="C45" s="1"/>
      <c r="D45" s="6" t="s">
        <v>11</v>
      </c>
      <c r="E45" s="9">
        <v>1.0041</v>
      </c>
      <c r="F45" s="9">
        <v>68.134496253068704</v>
      </c>
      <c r="G45" s="11">
        <v>678.56285482590101</v>
      </c>
      <c r="H45" s="11"/>
      <c r="I45" s="11">
        <v>26.84</v>
      </c>
      <c r="J45" s="11">
        <v>5.84</v>
      </c>
      <c r="K45" s="11">
        <v>16.88</v>
      </c>
      <c r="L45" s="11"/>
      <c r="W45" s="12" t="str">
        <f>IF(NOT(ISNUMBER(G45)),"",IF(G45&lt;Bands!$B$4,"Low",IF(G45&lt;Bands!$B$5,"Medium",IF(G45&lt;Bands!$B$6,"High","Very high"))))</f>
        <v>Medium</v>
      </c>
      <c r="Y45" s="12" t="str">
        <f>IF(NOT(ISNUMBER(J45)),"",IF(J45&lt;Bands!$B$18,"Light",IF(J45&lt;Bands!$B$19,"Medium","Dark")))</f>
        <v>Dark</v>
      </c>
      <c r="AA45" s="12" t="str">
        <f>IF(W45="","",IFERROR(INDEX(Bands!$D$3:$D$6,MATCH(W45,Bands!$A$3:$A$6,0)),""))</f>
        <v>Golden yellow with light brown at some edges or small spots</v>
      </c>
      <c r="AB45" s="12" t="str">
        <f>IF(W45="","",IFERROR(INDEX(Bands!$J$3:$J$6,MATCH(W45,Bands!$A$3:$A$6,0)),""))</f>
        <v>Not pale yellow (matches a low value) and not deep reddish-brown (matches a high value). Avoid black or burnt chips.</v>
      </c>
      <c r="AE45" s="12" t="str">
        <f>IF(W45="","","Ch4a_"&amp;TEXT(COUNT($G$2:G45),"000")&amp;"_"&amp;SUBSTITUTE(W45," ","-")&amp;"_"&amp;TEXT(G45,"0")&amp;".jpg")</f>
        <v>Ch4a_038_Medium_679.jpg</v>
      </c>
    </row>
    <row r="46" spans="2:32" ht="12.75" customHeight="1" x14ac:dyDescent="0.25">
      <c r="B46" s="1"/>
      <c r="C46" s="1"/>
      <c r="D46" s="6" t="s">
        <v>12</v>
      </c>
      <c r="E46" s="9">
        <v>1.0008999999999999</v>
      </c>
      <c r="F46" s="9">
        <v>13.0413560553437</v>
      </c>
      <c r="G46" s="11">
        <v>130.29629388893699</v>
      </c>
      <c r="H46" s="11"/>
      <c r="I46" s="11">
        <v>37.880000000000003</v>
      </c>
      <c r="J46" s="11">
        <v>2.84</v>
      </c>
      <c r="K46" s="11">
        <v>20.43</v>
      </c>
      <c r="L46" s="11"/>
      <c r="W46" s="12" t="str">
        <f>IF(NOT(ISNUMBER(G46)),"",IF(G46&lt;Bands!$B$4,"Low",IF(G46&lt;Bands!$B$5,"Medium",IF(G46&lt;Bands!$B$6,"High","Very high"))))</f>
        <v>Low</v>
      </c>
      <c r="Y46" s="12" t="str">
        <f>IF(NOT(ISNUMBER(J46)),"",IF(J46&lt;Bands!$B$18,"Light",IF(J46&lt;Bands!$B$19,"Medium","Dark")))</f>
        <v>Light</v>
      </c>
      <c r="AA46" s="12" t="str">
        <f>IF(W46="","",IFERROR(INDEX(Bands!$D$3:$D$6,MATCH(W46,Bands!$A$3:$A$6,0)),""))</f>
        <v>Pale yellow to light golden, even colour, no brown spots</v>
      </c>
      <c r="AB46" s="12" t="str">
        <f>IF(W46="","",IFERROR(INDEX(Bands!$J$3:$J$6,MATCH(W46,Bands!$A$3:$A$6,0)),""))</f>
        <v>Not deep golden-brown or reddish-brown (those match higher values). Avoid black or burnt chips.</v>
      </c>
      <c r="AE46" s="12" t="str">
        <f>IF(W46="","","Ch4a_"&amp;TEXT(COUNT($G$2:G46),"000")&amp;"_"&amp;SUBSTITUTE(W46," ","-")&amp;"_"&amp;TEXT(G46,"0")&amp;".jpg")</f>
        <v>Ch4a_039_Low_130.jpg</v>
      </c>
    </row>
    <row r="47" spans="2:32" ht="12.75" customHeight="1" x14ac:dyDescent="0.25">
      <c r="B47" s="1"/>
      <c r="C47" s="1"/>
      <c r="D47" s="6" t="s">
        <v>13</v>
      </c>
      <c r="E47" s="9">
        <v>1.0047999999999999</v>
      </c>
      <c r="F47" s="9">
        <v>57.857702222215103</v>
      </c>
      <c r="G47" s="11">
        <v>575.81311924975205</v>
      </c>
      <c r="H47" s="11"/>
      <c r="I47" s="11"/>
      <c r="J47" s="11"/>
      <c r="K47" s="11"/>
      <c r="L47" s="11"/>
      <c r="W47" s="12" t="str">
        <f>IF(NOT(ISNUMBER(G47)),"",IF(G47&lt;Bands!$B$4,"Low",IF(G47&lt;Bands!$B$5,"Medium",IF(G47&lt;Bands!$B$6,"High","Very high"))))</f>
        <v>Medium</v>
      </c>
      <c r="AA47" s="12" t="str">
        <f>IF(W47="","",IFERROR(INDEX(Bands!$D$3:$D$6,MATCH(W47,Bands!$A$3:$A$6,0)),""))</f>
        <v>Golden yellow with light brown at some edges or small spots</v>
      </c>
      <c r="AB47" s="12" t="str">
        <f>IF(W47="","",IFERROR(INDEX(Bands!$J$3:$J$6,MATCH(W47,Bands!$A$3:$A$6,0)),""))</f>
        <v>Not pale yellow (matches a low value) and not deep reddish-brown (matches a high value). Avoid black or burnt chips.</v>
      </c>
      <c r="AE47" s="12" t="str">
        <f>IF(W47="","","Ch4a_"&amp;TEXT(COUNT($G$2:G47),"000")&amp;"_"&amp;SUBSTITUTE(W47," ","-")&amp;"_"&amp;TEXT(G47,"0")&amp;".jpg")</f>
        <v>Ch4a_040_Medium_576.jpg</v>
      </c>
    </row>
    <row r="48" spans="2:32" ht="12.75" customHeight="1" x14ac:dyDescent="0.25">
      <c r="B48" s="1"/>
      <c r="C48" s="1"/>
      <c r="D48" s="6" t="s">
        <v>14</v>
      </c>
      <c r="E48" s="9">
        <v>1.0021</v>
      </c>
      <c r="F48" s="9">
        <v>13.308015619971901</v>
      </c>
      <c r="G48" s="11">
        <v>132.80127352531599</v>
      </c>
      <c r="H48" s="11"/>
      <c r="I48" s="11"/>
      <c r="J48" s="11"/>
      <c r="K48" s="11"/>
      <c r="L48" s="11"/>
      <c r="W48" s="12" t="str">
        <f>IF(NOT(ISNUMBER(G48)),"",IF(G48&lt;Bands!$B$4,"Low",IF(G48&lt;Bands!$B$5,"Medium",IF(G48&lt;Bands!$B$6,"High","Very high"))))</f>
        <v>Low</v>
      </c>
      <c r="AA48" s="12" t="str">
        <f>IF(W48="","",IFERROR(INDEX(Bands!$D$3:$D$6,MATCH(W48,Bands!$A$3:$A$6,0)),""))</f>
        <v>Pale yellow to light golden, even colour, no brown spots</v>
      </c>
      <c r="AB48" s="12" t="str">
        <f>IF(W48="","",IFERROR(INDEX(Bands!$J$3:$J$6,MATCH(W48,Bands!$A$3:$A$6,0)),""))</f>
        <v>Not deep golden-brown or reddish-brown (those match higher values). Avoid black or burnt chips.</v>
      </c>
      <c r="AE48" s="12" t="str">
        <f>IF(W48="","","Ch4a_"&amp;TEXT(COUNT($G$2:G48),"000")&amp;"_"&amp;SUBSTITUTE(W48," ","-")&amp;"_"&amp;TEXT(G48,"0")&amp;".jpg")</f>
        <v>Ch4a_041_Low_133.jpg</v>
      </c>
    </row>
    <row r="49" spans="2:31" ht="12.75" customHeight="1" x14ac:dyDescent="0.25">
      <c r="B49" s="1"/>
      <c r="C49" s="1"/>
      <c r="D49" s="6" t="s">
        <v>15</v>
      </c>
      <c r="E49" s="9">
        <v>1.0051000000000001</v>
      </c>
      <c r="F49" s="9">
        <v>32.559029438837399</v>
      </c>
      <c r="G49" s="11">
        <v>323.93820951982298</v>
      </c>
      <c r="H49" s="11"/>
      <c r="I49" s="11">
        <v>41.98</v>
      </c>
      <c r="J49" s="11">
        <v>3.44</v>
      </c>
      <c r="K49" s="11">
        <v>21.86</v>
      </c>
      <c r="L49" s="11"/>
      <c r="W49" s="12" t="str">
        <f>IF(NOT(ISNUMBER(G49)),"",IF(G49&lt;Bands!$B$4,"Low",IF(G49&lt;Bands!$B$5,"Medium",IF(G49&lt;Bands!$B$6,"High","Very high"))))</f>
        <v>Low</v>
      </c>
      <c r="Y49" s="12" t="str">
        <f>IF(NOT(ISNUMBER(J49)),"",IF(J49&lt;Bands!$B$18,"Light",IF(J49&lt;Bands!$B$19,"Medium","Dark")))</f>
        <v>Medium</v>
      </c>
      <c r="AA49" s="12" t="str">
        <f>IF(W49="","",IFERROR(INDEX(Bands!$D$3:$D$6,MATCH(W49,Bands!$A$3:$A$6,0)),""))</f>
        <v>Pale yellow to light golden, even colour, no brown spots</v>
      </c>
      <c r="AB49" s="12" t="str">
        <f>IF(W49="","",IFERROR(INDEX(Bands!$J$3:$J$6,MATCH(W49,Bands!$A$3:$A$6,0)),""))</f>
        <v>Not deep golden-brown or reddish-brown (those match higher values). Avoid black or burnt chips.</v>
      </c>
      <c r="AE49" s="12" t="str">
        <f>IF(W49="","","Ch4a_"&amp;TEXT(COUNT($G$2:G49),"000")&amp;"_"&amp;SUBSTITUTE(W49," ","-")&amp;"_"&amp;TEXT(G49,"0")&amp;".jpg")</f>
        <v>Ch4a_042_Low_324.jpg</v>
      </c>
    </row>
    <row r="50" spans="2:31" ht="12.75" customHeight="1" x14ac:dyDescent="0.25">
      <c r="E50" s="9"/>
      <c r="F50" s="9"/>
      <c r="G50" s="11"/>
      <c r="H50" s="11"/>
      <c r="I50" s="11"/>
      <c r="J50" s="11"/>
      <c r="K50" s="11"/>
      <c r="L50" s="11"/>
    </row>
    <row r="51" spans="2:31" ht="12.75" customHeight="1" x14ac:dyDescent="0.25">
      <c r="B51" s="1" t="s">
        <v>86</v>
      </c>
      <c r="C51" s="2" t="s">
        <v>78</v>
      </c>
      <c r="D51" s="6" t="s">
        <v>10</v>
      </c>
      <c r="E51" s="9">
        <v>1.0004999999999999</v>
      </c>
      <c r="F51" s="9">
        <v>26.405340845224899</v>
      </c>
      <c r="G51" s="11">
        <v>263.92144772838498</v>
      </c>
      <c r="H51" s="11"/>
      <c r="I51" s="11"/>
      <c r="J51" s="11"/>
      <c r="K51" s="11"/>
      <c r="L51" s="11"/>
      <c r="W51" s="12" t="str">
        <f>IF(NOT(ISNUMBER(G51)),"",IF(G51&lt;Bands!$B$4,"Low",IF(G51&lt;Bands!$B$5,"Medium",IF(G51&lt;Bands!$B$6,"High","Very high"))))</f>
        <v>Low</v>
      </c>
      <c r="AA51" s="12" t="str">
        <f>IF(W51="","",IFERROR(INDEX(Bands!$D$3:$D$6,MATCH(W51,Bands!$A$3:$A$6,0)),""))</f>
        <v>Pale yellow to light golden, even colour, no brown spots</v>
      </c>
      <c r="AB51" s="12" t="str">
        <f>IF(W51="","",IFERROR(INDEX(Bands!$J$3:$J$6,MATCH(W51,Bands!$A$3:$A$6,0)),""))</f>
        <v>Not deep golden-brown or reddish-brown (those match higher values). Avoid black or burnt chips.</v>
      </c>
      <c r="AE51" s="12" t="str">
        <f>IF(W51="","","Ch4a_"&amp;TEXT(COUNT($G$2:G51),"000")&amp;"_"&amp;SUBSTITUTE(W51," ","-")&amp;"_"&amp;TEXT(G51,"0")&amp;".jpg")</f>
        <v>Ch4a_043_Low_264.jpg</v>
      </c>
    </row>
    <row r="52" spans="2:31" ht="12.75" customHeight="1" x14ac:dyDescent="0.25">
      <c r="B52" s="1"/>
      <c r="C52" s="1"/>
      <c r="D52" s="6" t="s">
        <v>11</v>
      </c>
      <c r="E52" s="9">
        <v>1.0044999999999999</v>
      </c>
      <c r="F52" s="9">
        <v>61.607665041366303</v>
      </c>
      <c r="G52" s="11">
        <v>613.31672515048604</v>
      </c>
      <c r="H52" s="11"/>
      <c r="I52" s="11"/>
      <c r="J52" s="11"/>
      <c r="K52" s="11"/>
      <c r="L52" s="11"/>
      <c r="W52" s="12" t="str">
        <f>IF(NOT(ISNUMBER(G52)),"",IF(G52&lt;Bands!$B$4,"Low",IF(G52&lt;Bands!$B$5,"Medium",IF(G52&lt;Bands!$B$6,"High","Very high"))))</f>
        <v>Medium</v>
      </c>
      <c r="AA52" s="12" t="str">
        <f>IF(W52="","",IFERROR(INDEX(Bands!$D$3:$D$6,MATCH(W52,Bands!$A$3:$A$6,0)),""))</f>
        <v>Golden yellow with light brown at some edges or small spots</v>
      </c>
      <c r="AB52" s="12" t="str">
        <f>IF(W52="","",IFERROR(INDEX(Bands!$J$3:$J$6,MATCH(W52,Bands!$A$3:$A$6,0)),""))</f>
        <v>Not pale yellow (matches a low value) and not deep reddish-brown (matches a high value). Avoid black or burnt chips.</v>
      </c>
      <c r="AE52" s="12" t="str">
        <f>IF(W52="","","Ch4a_"&amp;TEXT(COUNT($G$2:G52),"000")&amp;"_"&amp;SUBSTITUTE(W52," ","-")&amp;"_"&amp;TEXT(G52,"0")&amp;".jpg")</f>
        <v>Ch4a_044_Medium_613.jpg</v>
      </c>
    </row>
    <row r="53" spans="2:31" ht="12.75" customHeight="1" x14ac:dyDescent="0.25">
      <c r="B53" s="1"/>
      <c r="C53" s="1"/>
      <c r="D53" s="6" t="s">
        <v>12</v>
      </c>
      <c r="E53" s="9">
        <v>1.0076000000000001</v>
      </c>
      <c r="F53" s="9">
        <v>21.023186914720501</v>
      </c>
      <c r="G53" s="11">
        <v>208.646158343792</v>
      </c>
      <c r="H53" s="11"/>
      <c r="I53" s="11"/>
      <c r="J53" s="11"/>
      <c r="K53" s="11"/>
      <c r="L53" s="11"/>
      <c r="W53" s="12" t="str">
        <f>IF(NOT(ISNUMBER(G53)),"",IF(G53&lt;Bands!$B$4,"Low",IF(G53&lt;Bands!$B$5,"Medium",IF(G53&lt;Bands!$B$6,"High","Very high"))))</f>
        <v>Low</v>
      </c>
      <c r="AA53" s="12" t="str">
        <f>IF(W53="","",IFERROR(INDEX(Bands!$D$3:$D$6,MATCH(W53,Bands!$A$3:$A$6,0)),""))</f>
        <v>Pale yellow to light golden, even colour, no brown spots</v>
      </c>
      <c r="AB53" s="12" t="str">
        <f>IF(W53="","",IFERROR(INDEX(Bands!$J$3:$J$6,MATCH(W53,Bands!$A$3:$A$6,0)),""))</f>
        <v>Not deep golden-brown or reddish-brown (those match higher values). Avoid black or burnt chips.</v>
      </c>
      <c r="AE53" s="12" t="str">
        <f>IF(W53="","","Ch4a_"&amp;TEXT(COUNT($G$2:G53),"000")&amp;"_"&amp;SUBSTITUTE(W53," ","-")&amp;"_"&amp;TEXT(G53,"0")&amp;".jpg")</f>
        <v>Ch4a_045_Low_209.jpg</v>
      </c>
    </row>
    <row r="54" spans="2:31" ht="12.75" customHeight="1" x14ac:dyDescent="0.25">
      <c r="B54" s="1"/>
      <c r="C54" s="1"/>
      <c r="D54" s="6" t="s">
        <v>13</v>
      </c>
      <c r="E54" s="9">
        <v>1.0012000000000001</v>
      </c>
      <c r="F54" s="9">
        <v>17.565669862711701</v>
      </c>
      <c r="G54" s="11">
        <v>175.44616323124001</v>
      </c>
      <c r="H54" s="11"/>
      <c r="I54" s="11"/>
      <c r="J54" s="11"/>
      <c r="K54" s="11"/>
      <c r="L54" s="11"/>
      <c r="W54" s="12" t="str">
        <f>IF(NOT(ISNUMBER(G54)),"",IF(G54&lt;Bands!$B$4,"Low",IF(G54&lt;Bands!$B$5,"Medium",IF(G54&lt;Bands!$B$6,"High","Very high"))))</f>
        <v>Low</v>
      </c>
      <c r="AA54" s="12" t="str">
        <f>IF(W54="","",IFERROR(INDEX(Bands!$D$3:$D$6,MATCH(W54,Bands!$A$3:$A$6,0)),""))</f>
        <v>Pale yellow to light golden, even colour, no brown spots</v>
      </c>
      <c r="AB54" s="12" t="str">
        <f>IF(W54="","",IFERROR(INDEX(Bands!$J$3:$J$6,MATCH(W54,Bands!$A$3:$A$6,0)),""))</f>
        <v>Not deep golden-brown or reddish-brown (those match higher values). Avoid black or burnt chips.</v>
      </c>
      <c r="AE54" s="12" t="str">
        <f>IF(W54="","","Ch4a_"&amp;TEXT(COUNT($G$2:G54),"000")&amp;"_"&amp;SUBSTITUTE(W54," ","-")&amp;"_"&amp;TEXT(G54,"0")&amp;".jpg")</f>
        <v>Ch4a_046_Low_175.jpg</v>
      </c>
    </row>
    <row r="55" spans="2:31" ht="12.75" customHeight="1" x14ac:dyDescent="0.25">
      <c r="B55" s="1"/>
      <c r="C55" s="1"/>
      <c r="D55" s="6" t="s">
        <v>14</v>
      </c>
      <c r="E55" s="9">
        <v>1.0076000000000001</v>
      </c>
      <c r="F55" s="9">
        <v>42.670755338259397</v>
      </c>
      <c r="G55" s="11">
        <v>423.48903670364598</v>
      </c>
      <c r="H55" s="11"/>
      <c r="I55" s="11"/>
      <c r="J55" s="11"/>
      <c r="K55" s="11"/>
      <c r="L55" s="11"/>
      <c r="W55" s="12" t="str">
        <f>IF(NOT(ISNUMBER(G55)),"",IF(G55&lt;Bands!$B$4,"Low",IF(G55&lt;Bands!$B$5,"Medium",IF(G55&lt;Bands!$B$6,"High","Very high"))))</f>
        <v>Low</v>
      </c>
      <c r="AA55" s="12" t="str">
        <f>IF(W55="","",IFERROR(INDEX(Bands!$D$3:$D$6,MATCH(W55,Bands!$A$3:$A$6,0)),""))</f>
        <v>Pale yellow to light golden, even colour, no brown spots</v>
      </c>
      <c r="AB55" s="12" t="str">
        <f>IF(W55="","",IFERROR(INDEX(Bands!$J$3:$J$6,MATCH(W55,Bands!$A$3:$A$6,0)),""))</f>
        <v>Not deep golden-brown or reddish-brown (those match higher values). Avoid black or burnt chips.</v>
      </c>
      <c r="AE55" s="12" t="str">
        <f>IF(W55="","","Ch4a_"&amp;TEXT(COUNT($G$2:G55),"000")&amp;"_"&amp;SUBSTITUTE(W55," ","-")&amp;"_"&amp;TEXT(G55,"0")&amp;".jpg")</f>
        <v>Ch4a_047_Low_423.jpg</v>
      </c>
    </row>
    <row r="56" spans="2:31" ht="12.75" customHeight="1" x14ac:dyDescent="0.25">
      <c r="B56" s="1"/>
      <c r="C56" s="1"/>
      <c r="D56" s="6" t="s">
        <v>15</v>
      </c>
      <c r="E56" s="9">
        <v>1.0054000000000001</v>
      </c>
      <c r="F56" s="9">
        <v>25.729278203002899</v>
      </c>
      <c r="G56" s="11">
        <v>255.91086336784301</v>
      </c>
      <c r="H56" s="11"/>
      <c r="I56" s="11"/>
      <c r="J56" s="11"/>
      <c r="K56" s="11"/>
      <c r="L56" s="11"/>
      <c r="W56" s="12" t="str">
        <f>IF(NOT(ISNUMBER(G56)),"",IF(G56&lt;Bands!$B$4,"Low",IF(G56&lt;Bands!$B$5,"Medium",IF(G56&lt;Bands!$B$6,"High","Very high"))))</f>
        <v>Low</v>
      </c>
      <c r="AA56" s="12" t="str">
        <f>IF(W56="","",IFERROR(INDEX(Bands!$D$3:$D$6,MATCH(W56,Bands!$A$3:$A$6,0)),""))</f>
        <v>Pale yellow to light golden, even colour, no brown spots</v>
      </c>
      <c r="AB56" s="12" t="str">
        <f>IF(W56="","",IFERROR(INDEX(Bands!$J$3:$J$6,MATCH(W56,Bands!$A$3:$A$6,0)),""))</f>
        <v>Not deep golden-brown or reddish-brown (those match higher values). Avoid black or burnt chips.</v>
      </c>
      <c r="AE56" s="12" t="str">
        <f>IF(W56="","","Ch4a_"&amp;TEXT(COUNT($G$2:G56),"000")&amp;"_"&amp;SUBSTITUTE(W56," ","-")&amp;"_"&amp;TEXT(G56,"0")&amp;".jpg")</f>
        <v>Ch4a_048_Low_256.jpg</v>
      </c>
    </row>
    <row r="57" spans="2:31" ht="12.75" customHeight="1" x14ac:dyDescent="0.25">
      <c r="B57" s="1"/>
      <c r="E57" s="9"/>
      <c r="F57" s="9"/>
      <c r="G57" s="11"/>
      <c r="H57" s="11"/>
      <c r="I57" s="11"/>
      <c r="J57" s="11"/>
      <c r="K57" s="11"/>
      <c r="L57" s="11"/>
    </row>
    <row r="58" spans="2:31" ht="12.75" customHeight="1" x14ac:dyDescent="0.25">
      <c r="B58" s="1"/>
      <c r="C58" s="2" t="s">
        <v>76</v>
      </c>
      <c r="D58" s="6" t="s">
        <v>10</v>
      </c>
      <c r="E58" s="9">
        <v>1.0027999999999999</v>
      </c>
      <c r="F58" s="9">
        <v>31.076951647337701</v>
      </c>
      <c r="G58" s="11">
        <v>309.90179145729701</v>
      </c>
      <c r="H58" s="11"/>
      <c r="I58" s="11"/>
      <c r="J58" s="11"/>
      <c r="K58" s="11"/>
      <c r="L58" s="11"/>
      <c r="W58" s="12" t="str">
        <f>IF(NOT(ISNUMBER(G58)),"",IF(G58&lt;Bands!$B$4,"Low",IF(G58&lt;Bands!$B$5,"Medium",IF(G58&lt;Bands!$B$6,"High","Very high"))))</f>
        <v>Low</v>
      </c>
      <c r="AA58" s="12" t="str">
        <f>IF(W58="","",IFERROR(INDEX(Bands!$D$3:$D$6,MATCH(W58,Bands!$A$3:$A$6,0)),""))</f>
        <v>Pale yellow to light golden, even colour, no brown spots</v>
      </c>
      <c r="AB58" s="12" t="str">
        <f>IF(W58="","",IFERROR(INDEX(Bands!$J$3:$J$6,MATCH(W58,Bands!$A$3:$A$6,0)),""))</f>
        <v>Not deep golden-brown or reddish-brown (those match higher values). Avoid black or burnt chips.</v>
      </c>
      <c r="AE58" s="12" t="str">
        <f>IF(W58="","","Ch4a_"&amp;TEXT(COUNT($G$2:G58),"000")&amp;"_"&amp;SUBSTITUTE(W58," ","-")&amp;"_"&amp;TEXT(G58,"0")&amp;".jpg")</f>
        <v>Ch4a_049_Low_310.jpg</v>
      </c>
    </row>
    <row r="59" spans="2:31" ht="12.75" customHeight="1" x14ac:dyDescent="0.25">
      <c r="B59" s="1"/>
      <c r="C59" s="1"/>
      <c r="D59" s="6" t="s">
        <v>11</v>
      </c>
      <c r="E59" s="9">
        <v>1.0066999999999999</v>
      </c>
      <c r="F59" s="9">
        <v>19.6660799196661</v>
      </c>
      <c r="G59" s="11">
        <v>195.35194119068299</v>
      </c>
      <c r="H59" s="11"/>
      <c r="I59" s="11"/>
      <c r="J59" s="11"/>
      <c r="K59" s="11"/>
      <c r="L59" s="11"/>
      <c r="W59" s="12" t="str">
        <f>IF(NOT(ISNUMBER(G59)),"",IF(G59&lt;Bands!$B$4,"Low",IF(G59&lt;Bands!$B$5,"Medium",IF(G59&lt;Bands!$B$6,"High","Very high"))))</f>
        <v>Low</v>
      </c>
      <c r="AA59" s="12" t="str">
        <f>IF(W59="","",IFERROR(INDEX(Bands!$D$3:$D$6,MATCH(W59,Bands!$A$3:$A$6,0)),""))</f>
        <v>Pale yellow to light golden, even colour, no brown spots</v>
      </c>
      <c r="AB59" s="12" t="str">
        <f>IF(W59="","",IFERROR(INDEX(Bands!$J$3:$J$6,MATCH(W59,Bands!$A$3:$A$6,0)),""))</f>
        <v>Not deep golden-brown or reddish-brown (those match higher values). Avoid black or burnt chips.</v>
      </c>
      <c r="AE59" s="12" t="str">
        <f>IF(W59="","","Ch4a_"&amp;TEXT(COUNT($G$2:G59),"000")&amp;"_"&amp;SUBSTITUTE(W59," ","-")&amp;"_"&amp;TEXT(G59,"0")&amp;".jpg")</f>
        <v>Ch4a_050_Low_195.jpg</v>
      </c>
    </row>
    <row r="60" spans="2:31" ht="12.75" customHeight="1" x14ac:dyDescent="0.25">
      <c r="B60" s="1"/>
      <c r="C60" s="1"/>
      <c r="D60" s="6" t="s">
        <v>12</v>
      </c>
      <c r="E60" s="9">
        <v>1</v>
      </c>
      <c r="F60" s="9">
        <v>24.677249189289601</v>
      </c>
      <c r="G60" s="11">
        <v>246.772491892896</v>
      </c>
      <c r="H60" s="11"/>
      <c r="I60" s="11"/>
      <c r="J60" s="11"/>
      <c r="K60" s="11"/>
      <c r="L60" s="11"/>
      <c r="W60" s="12" t="str">
        <f>IF(NOT(ISNUMBER(G60)),"",IF(G60&lt;Bands!$B$4,"Low",IF(G60&lt;Bands!$B$5,"Medium",IF(G60&lt;Bands!$B$6,"High","Very high"))))</f>
        <v>Low</v>
      </c>
      <c r="AA60" s="12" t="str">
        <f>IF(W60="","",IFERROR(INDEX(Bands!$D$3:$D$6,MATCH(W60,Bands!$A$3:$A$6,0)),""))</f>
        <v>Pale yellow to light golden, even colour, no brown spots</v>
      </c>
      <c r="AB60" s="12" t="str">
        <f>IF(W60="","",IFERROR(INDEX(Bands!$J$3:$J$6,MATCH(W60,Bands!$A$3:$A$6,0)),""))</f>
        <v>Not deep golden-brown or reddish-brown (those match higher values). Avoid black or burnt chips.</v>
      </c>
      <c r="AE60" s="12" t="str">
        <f>IF(W60="","","Ch4a_"&amp;TEXT(COUNT($G$2:G60),"000")&amp;"_"&amp;SUBSTITUTE(W60," ","-")&amp;"_"&amp;TEXT(G60,"0")&amp;".jpg")</f>
        <v>Ch4a_051_Low_247.jpg</v>
      </c>
    </row>
    <row r="61" spans="2:31" ht="12.75" customHeight="1" x14ac:dyDescent="0.25">
      <c r="B61" s="1"/>
      <c r="C61" s="1"/>
      <c r="D61" s="6" t="s">
        <v>13</v>
      </c>
      <c r="E61" s="9">
        <v>1.0086999999999999</v>
      </c>
      <c r="F61" s="9">
        <v>19.5042873712848</v>
      </c>
      <c r="G61" s="11">
        <v>193.36063617809901</v>
      </c>
      <c r="H61" s="11"/>
      <c r="I61" s="11"/>
      <c r="J61" s="11"/>
      <c r="K61" s="11"/>
      <c r="L61" s="11"/>
      <c r="W61" s="12" t="str">
        <f>IF(NOT(ISNUMBER(G61)),"",IF(G61&lt;Bands!$B$4,"Low",IF(G61&lt;Bands!$B$5,"Medium",IF(G61&lt;Bands!$B$6,"High","Very high"))))</f>
        <v>Low</v>
      </c>
      <c r="AA61" s="12" t="str">
        <f>IF(W61="","",IFERROR(INDEX(Bands!$D$3:$D$6,MATCH(W61,Bands!$A$3:$A$6,0)),""))</f>
        <v>Pale yellow to light golden, even colour, no brown spots</v>
      </c>
      <c r="AB61" s="12" t="str">
        <f>IF(W61="","",IFERROR(INDEX(Bands!$J$3:$J$6,MATCH(W61,Bands!$A$3:$A$6,0)),""))</f>
        <v>Not deep golden-brown or reddish-brown (those match higher values). Avoid black or burnt chips.</v>
      </c>
      <c r="AE61" s="12" t="str">
        <f>IF(W61="","","Ch4a_"&amp;TEXT(COUNT($G$2:G61),"000")&amp;"_"&amp;SUBSTITUTE(W61," ","-")&amp;"_"&amp;TEXT(G61,"0")&amp;".jpg")</f>
        <v>Ch4a_052_Low_193.jpg</v>
      </c>
    </row>
    <row r="62" spans="2:31" ht="12.75" customHeight="1" x14ac:dyDescent="0.25">
      <c r="B62" s="1"/>
      <c r="C62" s="1"/>
      <c r="D62" s="6" t="s">
        <v>14</v>
      </c>
      <c r="E62" s="9">
        <v>1.0079</v>
      </c>
      <c r="F62" s="9">
        <v>20.379977755485001</v>
      </c>
      <c r="G62" s="11">
        <v>202.20237876262499</v>
      </c>
      <c r="H62" s="11"/>
      <c r="I62" s="11"/>
      <c r="J62" s="11"/>
      <c r="K62" s="11"/>
      <c r="L62" s="11"/>
      <c r="W62" s="12" t="str">
        <f>IF(NOT(ISNUMBER(G62)),"",IF(G62&lt;Bands!$B$4,"Low",IF(G62&lt;Bands!$B$5,"Medium",IF(G62&lt;Bands!$B$6,"High","Very high"))))</f>
        <v>Low</v>
      </c>
      <c r="AA62" s="12" t="str">
        <f>IF(W62="","",IFERROR(INDEX(Bands!$D$3:$D$6,MATCH(W62,Bands!$A$3:$A$6,0)),""))</f>
        <v>Pale yellow to light golden, even colour, no brown spots</v>
      </c>
      <c r="AB62" s="12" t="str">
        <f>IF(W62="","",IFERROR(INDEX(Bands!$J$3:$J$6,MATCH(W62,Bands!$A$3:$A$6,0)),""))</f>
        <v>Not deep golden-brown or reddish-brown (those match higher values). Avoid black or burnt chips.</v>
      </c>
      <c r="AE62" s="12" t="str">
        <f>IF(W62="","","Ch4a_"&amp;TEXT(COUNT($G$2:G62),"000")&amp;"_"&amp;SUBSTITUTE(W62," ","-")&amp;"_"&amp;TEXT(G62,"0")&amp;".jpg")</f>
        <v>Ch4a_053_Low_202.jpg</v>
      </c>
    </row>
    <row r="63" spans="2:31" ht="12.75" customHeight="1" x14ac:dyDescent="0.25">
      <c r="B63" s="1"/>
      <c r="C63" s="1"/>
      <c r="D63" s="6" t="s">
        <v>15</v>
      </c>
      <c r="E63" s="9">
        <v>1.0021</v>
      </c>
      <c r="F63" s="9">
        <v>31.6599572262623</v>
      </c>
      <c r="G63" s="11">
        <v>315.93610643910102</v>
      </c>
      <c r="H63" s="11"/>
      <c r="I63" s="11"/>
      <c r="J63" s="11"/>
      <c r="K63" s="11"/>
      <c r="L63" s="11"/>
      <c r="W63" s="12" t="str">
        <f>IF(NOT(ISNUMBER(G63)),"",IF(G63&lt;Bands!$B$4,"Low",IF(G63&lt;Bands!$B$5,"Medium",IF(G63&lt;Bands!$B$6,"High","Very high"))))</f>
        <v>Low</v>
      </c>
      <c r="AA63" s="12" t="str">
        <f>IF(W63="","",IFERROR(INDEX(Bands!$D$3:$D$6,MATCH(W63,Bands!$A$3:$A$6,0)),""))</f>
        <v>Pale yellow to light golden, even colour, no brown spots</v>
      </c>
      <c r="AB63" s="12" t="str">
        <f>IF(W63="","",IFERROR(INDEX(Bands!$J$3:$J$6,MATCH(W63,Bands!$A$3:$A$6,0)),""))</f>
        <v>Not deep golden-brown or reddish-brown (those match higher values). Avoid black or burnt chips.</v>
      </c>
      <c r="AE63" s="12" t="str">
        <f>IF(W63="","","Ch4a_"&amp;TEXT(COUNT($G$2:G63),"000")&amp;"_"&amp;SUBSTITUTE(W63," ","-")&amp;"_"&amp;TEXT(G63,"0")&amp;".jpg")</f>
        <v>Ch4a_054_Low_316.jpg</v>
      </c>
    </row>
    <row r="64" spans="2:31" ht="12.75" customHeight="1" x14ac:dyDescent="0.25">
      <c r="E64" s="9"/>
      <c r="F64" s="9"/>
      <c r="G64" s="11"/>
      <c r="H64" s="11"/>
      <c r="I64" s="11"/>
      <c r="J64" s="11"/>
      <c r="K64" s="11"/>
      <c r="L64" s="11"/>
    </row>
    <row r="65" spans="2:31" ht="12.75" customHeight="1" x14ac:dyDescent="0.25">
      <c r="B65" s="1" t="s">
        <v>87</v>
      </c>
      <c r="C65" s="2" t="s">
        <v>78</v>
      </c>
      <c r="D65" s="6" t="s">
        <v>10</v>
      </c>
      <c r="E65" s="9">
        <v>1.0002</v>
      </c>
      <c r="F65" s="9">
        <v>16.3706917306721</v>
      </c>
      <c r="G65" s="11">
        <v>163.67418247022701</v>
      </c>
      <c r="H65" s="11"/>
      <c r="I65" s="11"/>
      <c r="J65" s="11"/>
      <c r="K65" s="11"/>
      <c r="L65" s="11"/>
      <c r="W65" s="12" t="str">
        <f>IF(NOT(ISNUMBER(G65)),"",IF(G65&lt;Bands!$B$4,"Low",IF(G65&lt;Bands!$B$5,"Medium",IF(G65&lt;Bands!$B$6,"High","Very high"))))</f>
        <v>Low</v>
      </c>
      <c r="AA65" s="12" t="str">
        <f>IF(W65="","",IFERROR(INDEX(Bands!$D$3:$D$6,MATCH(W65,Bands!$A$3:$A$6,0)),""))</f>
        <v>Pale yellow to light golden, even colour, no brown spots</v>
      </c>
      <c r="AB65" s="12" t="str">
        <f>IF(W65="","",IFERROR(INDEX(Bands!$J$3:$J$6,MATCH(W65,Bands!$A$3:$A$6,0)),""))</f>
        <v>Not deep golden-brown or reddish-brown (those match higher values). Avoid black or burnt chips.</v>
      </c>
      <c r="AE65" s="12" t="str">
        <f>IF(W65="","","Ch4a_"&amp;TEXT(COUNT($G$2:G65),"000")&amp;"_"&amp;SUBSTITUTE(W65," ","-")&amp;"_"&amp;TEXT(G65,"0")&amp;".jpg")</f>
        <v>Ch4a_055_Low_164.jpg</v>
      </c>
    </row>
    <row r="66" spans="2:31" ht="12.75" customHeight="1" x14ac:dyDescent="0.25">
      <c r="B66" s="1"/>
      <c r="C66" s="1"/>
      <c r="D66" s="6" t="s">
        <v>11</v>
      </c>
      <c r="E66" s="9">
        <v>1.0064</v>
      </c>
      <c r="F66" s="9">
        <v>27.594634407269901</v>
      </c>
      <c r="G66" s="11">
        <v>274.19151835522598</v>
      </c>
      <c r="H66" s="11"/>
      <c r="I66" s="11">
        <v>37.43</v>
      </c>
      <c r="J66" s="11">
        <v>2.4900000000000002</v>
      </c>
      <c r="K66" s="11">
        <v>20.309999999999999</v>
      </c>
      <c r="L66" s="11"/>
      <c r="W66" s="12" t="str">
        <f>IF(NOT(ISNUMBER(G66)),"",IF(G66&lt;Bands!$B$4,"Low",IF(G66&lt;Bands!$B$5,"Medium",IF(G66&lt;Bands!$B$6,"High","Very high"))))</f>
        <v>Low</v>
      </c>
      <c r="Y66" s="12" t="str">
        <f>IF(NOT(ISNUMBER(J66)),"",IF(J66&lt;Bands!$B$18,"Light",IF(J66&lt;Bands!$B$19,"Medium","Dark")))</f>
        <v>Light</v>
      </c>
      <c r="AA66" s="12" t="str">
        <f>IF(W66="","",IFERROR(INDEX(Bands!$D$3:$D$6,MATCH(W66,Bands!$A$3:$A$6,0)),""))</f>
        <v>Pale yellow to light golden, even colour, no brown spots</v>
      </c>
      <c r="AB66" s="12" t="str">
        <f>IF(W66="","",IFERROR(INDEX(Bands!$J$3:$J$6,MATCH(W66,Bands!$A$3:$A$6,0)),""))</f>
        <v>Not deep golden-brown or reddish-brown (those match higher values). Avoid black or burnt chips.</v>
      </c>
      <c r="AE66" s="12" t="str">
        <f>IF(W66="","","Ch4a_"&amp;TEXT(COUNT($G$2:G66),"000")&amp;"_"&amp;SUBSTITUTE(W66," ","-")&amp;"_"&amp;TEXT(G66,"0")&amp;".jpg")</f>
        <v>Ch4a_056_Low_274.jpg</v>
      </c>
    </row>
    <row r="67" spans="2:31" ht="12.75" customHeight="1" x14ac:dyDescent="0.25">
      <c r="B67" s="1"/>
      <c r="C67" s="1"/>
      <c r="D67" s="6" t="s">
        <v>12</v>
      </c>
      <c r="E67" s="9">
        <v>1.0087999999999999</v>
      </c>
      <c r="F67" s="9">
        <v>146.06351307824801</v>
      </c>
      <c r="G67" s="11">
        <v>1447.89366651713</v>
      </c>
      <c r="H67" s="11"/>
      <c r="I67" s="11"/>
      <c r="J67" s="11"/>
      <c r="K67" s="11"/>
      <c r="L67" s="11"/>
      <c r="W67" s="12" t="str">
        <f>IF(NOT(ISNUMBER(G67)),"",IF(G67&lt;Bands!$B$4,"Low",IF(G67&lt;Bands!$B$5,"Medium",IF(G67&lt;Bands!$B$6,"High","Very high"))))</f>
        <v>High</v>
      </c>
      <c r="AA67" s="12" t="str">
        <f>IF(W67="","",IFERROR(INDEX(Bands!$D$3:$D$6,MATCH(W67,Bands!$A$3:$A$6,0)),""))</f>
        <v>Golden-brown with a reddish tint, brown edges, somewhat uneven</v>
      </c>
      <c r="AB67" s="12" t="str">
        <f>IF(W67="","",IFERROR(INDEX(Bands!$J$3:$J$6,MATCH(W67,Bands!$A$3:$A$6,0)),""))</f>
        <v>Not pale yellow, which would match a low value. Not black or burnt, since very dark chips can have lower acrylamide.</v>
      </c>
      <c r="AE67" s="12" t="str">
        <f>IF(W67="","","Ch4a_"&amp;TEXT(COUNT($G$2:G67),"000")&amp;"_"&amp;SUBSTITUTE(W67," ","-")&amp;"_"&amp;TEXT(G67,"0")&amp;".jpg")</f>
        <v>Ch4a_057_High_1448.jpg</v>
      </c>
    </row>
    <row r="68" spans="2:31" ht="12.75" customHeight="1" x14ac:dyDescent="0.25">
      <c r="B68" s="1"/>
      <c r="C68" s="1"/>
      <c r="D68" s="6" t="s">
        <v>13</v>
      </c>
      <c r="E68" s="9">
        <v>1.0023</v>
      </c>
      <c r="F68" s="9">
        <v>45.043463581721497</v>
      </c>
      <c r="G68" s="11">
        <v>449.40101348619697</v>
      </c>
      <c r="H68" s="11"/>
      <c r="I68" s="11">
        <v>45.14</v>
      </c>
      <c r="J68" s="11">
        <v>2.71</v>
      </c>
      <c r="K68" s="11">
        <v>21.21</v>
      </c>
      <c r="L68" s="11"/>
      <c r="W68" s="12" t="str">
        <f>IF(NOT(ISNUMBER(G68)),"",IF(G68&lt;Bands!$B$4,"Low",IF(G68&lt;Bands!$B$5,"Medium",IF(G68&lt;Bands!$B$6,"High","Very high"))))</f>
        <v>Low</v>
      </c>
      <c r="Y68" s="12" t="str">
        <f>IF(NOT(ISNUMBER(J68)),"",IF(J68&lt;Bands!$B$18,"Light",IF(J68&lt;Bands!$B$19,"Medium","Dark")))</f>
        <v>Light</v>
      </c>
      <c r="AA68" s="12" t="str">
        <f>IF(W68="","",IFERROR(INDEX(Bands!$D$3:$D$6,MATCH(W68,Bands!$A$3:$A$6,0)),""))</f>
        <v>Pale yellow to light golden, even colour, no brown spots</v>
      </c>
      <c r="AB68" s="12" t="str">
        <f>IF(W68="","",IFERROR(INDEX(Bands!$J$3:$J$6,MATCH(W68,Bands!$A$3:$A$6,0)),""))</f>
        <v>Not deep golden-brown or reddish-brown (those match higher values). Avoid black or burnt chips.</v>
      </c>
      <c r="AE68" s="12" t="str">
        <f>IF(W68="","","Ch4a_"&amp;TEXT(COUNT($G$2:G68),"000")&amp;"_"&amp;SUBSTITUTE(W68," ","-")&amp;"_"&amp;TEXT(G68,"0")&amp;".jpg")</f>
        <v>Ch4a_058_Low_449.jpg</v>
      </c>
    </row>
    <row r="69" spans="2:31" ht="12.75" customHeight="1" x14ac:dyDescent="0.25">
      <c r="B69" s="1"/>
      <c r="C69" s="1"/>
      <c r="D69" s="6" t="s">
        <v>14</v>
      </c>
      <c r="E69" s="9">
        <v>1.0079</v>
      </c>
      <c r="F69" s="9">
        <v>24.326776315264901</v>
      </c>
      <c r="G69" s="11">
        <v>241.36101116444999</v>
      </c>
      <c r="H69" s="11"/>
      <c r="I69" s="11">
        <v>40.119999999999997</v>
      </c>
      <c r="J69" s="11">
        <v>2.37</v>
      </c>
      <c r="K69" s="11">
        <v>19.55</v>
      </c>
      <c r="L69" s="11"/>
      <c r="W69" s="12" t="str">
        <f>IF(NOT(ISNUMBER(G69)),"",IF(G69&lt;Bands!$B$4,"Low",IF(G69&lt;Bands!$B$5,"Medium",IF(G69&lt;Bands!$B$6,"High","Very high"))))</f>
        <v>Low</v>
      </c>
      <c r="Y69" s="12" t="str">
        <f>IF(NOT(ISNUMBER(J69)),"",IF(J69&lt;Bands!$B$18,"Light",IF(J69&lt;Bands!$B$19,"Medium","Dark")))</f>
        <v>Light</v>
      </c>
      <c r="AA69" s="12" t="str">
        <f>IF(W69="","",IFERROR(INDEX(Bands!$D$3:$D$6,MATCH(W69,Bands!$A$3:$A$6,0)),""))</f>
        <v>Pale yellow to light golden, even colour, no brown spots</v>
      </c>
      <c r="AB69" s="12" t="str">
        <f>IF(W69="","",IFERROR(INDEX(Bands!$J$3:$J$6,MATCH(W69,Bands!$A$3:$A$6,0)),""))</f>
        <v>Not deep golden-brown or reddish-brown (those match higher values). Avoid black or burnt chips.</v>
      </c>
      <c r="AE69" s="12" t="str">
        <f>IF(W69="","","Ch4a_"&amp;TEXT(COUNT($G$2:G69),"000")&amp;"_"&amp;SUBSTITUTE(W69," ","-")&amp;"_"&amp;TEXT(G69,"0")&amp;".jpg")</f>
        <v>Ch4a_059_Low_241.jpg</v>
      </c>
    </row>
    <row r="70" spans="2:31" ht="12.75" customHeight="1" x14ac:dyDescent="0.25">
      <c r="B70" s="1"/>
      <c r="C70" s="1"/>
      <c r="D70" s="6" t="s">
        <v>15</v>
      </c>
      <c r="E70" s="9">
        <v>1.0037</v>
      </c>
      <c r="F70" s="9">
        <v>27.178417448790999</v>
      </c>
      <c r="G70" s="11">
        <v>270.782280051719</v>
      </c>
      <c r="H70" s="11"/>
      <c r="I70" s="11"/>
      <c r="J70" s="11"/>
      <c r="K70" s="11"/>
      <c r="L70" s="11"/>
      <c r="W70" s="12" t="str">
        <f>IF(NOT(ISNUMBER(G70)),"",IF(G70&lt;Bands!$B$4,"Low",IF(G70&lt;Bands!$B$5,"Medium",IF(G70&lt;Bands!$B$6,"High","Very high"))))</f>
        <v>Low</v>
      </c>
      <c r="AA70" s="12" t="str">
        <f>IF(W70="","",IFERROR(INDEX(Bands!$D$3:$D$6,MATCH(W70,Bands!$A$3:$A$6,0)),""))</f>
        <v>Pale yellow to light golden, even colour, no brown spots</v>
      </c>
      <c r="AB70" s="12" t="str">
        <f>IF(W70="","",IFERROR(INDEX(Bands!$J$3:$J$6,MATCH(W70,Bands!$A$3:$A$6,0)),""))</f>
        <v>Not deep golden-brown or reddish-brown (those match higher values). Avoid black or burnt chips.</v>
      </c>
      <c r="AE70" s="12" t="str">
        <f>IF(W70="","","Ch4a_"&amp;TEXT(COUNT($G$2:G70),"000")&amp;"_"&amp;SUBSTITUTE(W70," ","-")&amp;"_"&amp;TEXT(G70,"0")&amp;".jpg")</f>
        <v>Ch4a_060_Low_271.jpg</v>
      </c>
    </row>
    <row r="71" spans="2:31" ht="12.75" customHeight="1" x14ac:dyDescent="0.25">
      <c r="B71" s="1"/>
      <c r="E71" s="9"/>
      <c r="F71" s="9"/>
      <c r="G71" s="11"/>
      <c r="H71" s="11"/>
      <c r="I71" s="11"/>
      <c r="J71" s="11"/>
      <c r="K71" s="11"/>
      <c r="L71" s="11"/>
    </row>
    <row r="72" spans="2:31" ht="12.75" customHeight="1" x14ac:dyDescent="0.25">
      <c r="B72" s="1"/>
      <c r="C72" s="2" t="s">
        <v>76</v>
      </c>
      <c r="D72" s="6" t="s">
        <v>10</v>
      </c>
      <c r="E72" s="9">
        <v>1.0022</v>
      </c>
      <c r="F72" s="9">
        <v>35.7400276633837</v>
      </c>
      <c r="G72" s="11">
        <v>356.61572204533701</v>
      </c>
      <c r="H72" s="11"/>
      <c r="I72" s="11">
        <v>35.549999999999997</v>
      </c>
      <c r="J72" s="11">
        <v>3.1</v>
      </c>
      <c r="K72" s="11">
        <v>19.2</v>
      </c>
      <c r="L72" s="11"/>
      <c r="W72" s="12" t="str">
        <f>IF(NOT(ISNUMBER(G72)),"",IF(G72&lt;Bands!$B$4,"Low",IF(G72&lt;Bands!$B$5,"Medium",IF(G72&lt;Bands!$B$6,"High","Very high"))))</f>
        <v>Low</v>
      </c>
      <c r="Y72" s="12" t="str">
        <f>IF(NOT(ISNUMBER(J72)),"",IF(J72&lt;Bands!$B$18,"Light",IF(J72&lt;Bands!$B$19,"Medium","Dark")))</f>
        <v>Medium</v>
      </c>
      <c r="AA72" s="12" t="str">
        <f>IF(W72="","",IFERROR(INDEX(Bands!$D$3:$D$6,MATCH(W72,Bands!$A$3:$A$6,0)),""))</f>
        <v>Pale yellow to light golden, even colour, no brown spots</v>
      </c>
      <c r="AB72" s="12" t="str">
        <f>IF(W72="","",IFERROR(INDEX(Bands!$J$3:$J$6,MATCH(W72,Bands!$A$3:$A$6,0)),""))</f>
        <v>Not deep golden-brown or reddish-brown (those match higher values). Avoid black or burnt chips.</v>
      </c>
      <c r="AE72" s="12" t="str">
        <f>IF(W72="","","Ch4a_"&amp;TEXT(COUNT($G$2:G72),"000")&amp;"_"&amp;SUBSTITUTE(W72," ","-")&amp;"_"&amp;TEXT(G72,"0")&amp;".jpg")</f>
        <v>Ch4a_061_Low_357.jpg</v>
      </c>
    </row>
    <row r="73" spans="2:31" ht="12.75" customHeight="1" x14ac:dyDescent="0.25">
      <c r="B73" s="1"/>
      <c r="C73" s="1"/>
      <c r="D73" s="6" t="s">
        <v>11</v>
      </c>
      <c r="E73" s="9">
        <v>1.0015000000000001</v>
      </c>
      <c r="F73" s="9">
        <v>29.592724518172499</v>
      </c>
      <c r="G73" s="11">
        <v>295.48401915299598</v>
      </c>
      <c r="H73" s="11"/>
      <c r="I73" s="11"/>
      <c r="J73" s="11"/>
      <c r="K73" s="11"/>
      <c r="L73" s="11"/>
      <c r="W73" s="12" t="str">
        <f>IF(NOT(ISNUMBER(G73)),"",IF(G73&lt;Bands!$B$4,"Low",IF(G73&lt;Bands!$B$5,"Medium",IF(G73&lt;Bands!$B$6,"High","Very high"))))</f>
        <v>Low</v>
      </c>
      <c r="AA73" s="12" t="str">
        <f>IF(W73="","",IFERROR(INDEX(Bands!$D$3:$D$6,MATCH(W73,Bands!$A$3:$A$6,0)),""))</f>
        <v>Pale yellow to light golden, even colour, no brown spots</v>
      </c>
      <c r="AB73" s="12" t="str">
        <f>IF(W73="","",IFERROR(INDEX(Bands!$J$3:$J$6,MATCH(W73,Bands!$A$3:$A$6,0)),""))</f>
        <v>Not deep golden-brown or reddish-brown (those match higher values). Avoid black or burnt chips.</v>
      </c>
      <c r="AE73" s="12" t="str">
        <f>IF(W73="","","Ch4a_"&amp;TEXT(COUNT($G$2:G73),"000")&amp;"_"&amp;SUBSTITUTE(W73," ","-")&amp;"_"&amp;TEXT(G73,"0")&amp;".jpg")</f>
        <v>Ch4a_062_Low_295.jpg</v>
      </c>
    </row>
    <row r="74" spans="2:31" ht="12.75" customHeight="1" x14ac:dyDescent="0.25">
      <c r="B74" s="1"/>
      <c r="C74" s="1"/>
      <c r="D74" s="6" t="s">
        <v>12</v>
      </c>
      <c r="E74" s="9">
        <v>1.0065999999999999</v>
      </c>
      <c r="F74" s="9">
        <v>21.029376935776199</v>
      </c>
      <c r="G74" s="11">
        <v>208.91493081438699</v>
      </c>
      <c r="H74" s="11"/>
      <c r="I74" s="11">
        <v>50.03</v>
      </c>
      <c r="J74" s="11">
        <v>2</v>
      </c>
      <c r="K74" s="11">
        <v>21.82</v>
      </c>
      <c r="L74" s="11"/>
      <c r="W74" s="12" t="str">
        <f>IF(NOT(ISNUMBER(G74)),"",IF(G74&lt;Bands!$B$4,"Low",IF(G74&lt;Bands!$B$5,"Medium",IF(G74&lt;Bands!$B$6,"High","Very high"))))</f>
        <v>Low</v>
      </c>
      <c r="Y74" s="12" t="str">
        <f>IF(NOT(ISNUMBER(J74)),"",IF(J74&lt;Bands!$B$18,"Light",IF(J74&lt;Bands!$B$19,"Medium","Dark")))</f>
        <v>Light</v>
      </c>
      <c r="AA74" s="12" t="str">
        <f>IF(W74="","",IFERROR(INDEX(Bands!$D$3:$D$6,MATCH(W74,Bands!$A$3:$A$6,0)),""))</f>
        <v>Pale yellow to light golden, even colour, no brown spots</v>
      </c>
      <c r="AB74" s="12" t="str">
        <f>IF(W74="","",IFERROR(INDEX(Bands!$J$3:$J$6,MATCH(W74,Bands!$A$3:$A$6,0)),""))</f>
        <v>Not deep golden-brown or reddish-brown (those match higher values). Avoid black or burnt chips.</v>
      </c>
      <c r="AE74" s="12" t="str">
        <f>IF(W74="","","Ch4a_"&amp;TEXT(COUNT($G$2:G74),"000")&amp;"_"&amp;SUBSTITUTE(W74," ","-")&amp;"_"&amp;TEXT(G74,"0")&amp;".jpg")</f>
        <v>Ch4a_063_Low_209.jpg</v>
      </c>
    </row>
    <row r="75" spans="2:31" ht="12.75" customHeight="1" x14ac:dyDescent="0.25">
      <c r="B75" s="1"/>
      <c r="C75" s="1"/>
      <c r="D75" s="6" t="s">
        <v>13</v>
      </c>
      <c r="E75" s="9">
        <v>1.008</v>
      </c>
      <c r="F75" s="9">
        <v>15.3000940792504</v>
      </c>
      <c r="G75" s="11">
        <v>151.78664761161099</v>
      </c>
      <c r="H75" s="11"/>
      <c r="I75" s="11">
        <v>45.4</v>
      </c>
      <c r="J75" s="11">
        <v>2.4300000000000002</v>
      </c>
      <c r="K75" s="11">
        <v>21.98</v>
      </c>
      <c r="L75" s="11"/>
      <c r="W75" s="12" t="str">
        <f>IF(NOT(ISNUMBER(G75)),"",IF(G75&lt;Bands!$B$4,"Low",IF(G75&lt;Bands!$B$5,"Medium",IF(G75&lt;Bands!$B$6,"High","Very high"))))</f>
        <v>Low</v>
      </c>
      <c r="Y75" s="12" t="str">
        <f>IF(NOT(ISNUMBER(J75)),"",IF(J75&lt;Bands!$B$18,"Light",IF(J75&lt;Bands!$B$19,"Medium","Dark")))</f>
        <v>Light</v>
      </c>
      <c r="AA75" s="12" t="str">
        <f>IF(W75="","",IFERROR(INDEX(Bands!$D$3:$D$6,MATCH(W75,Bands!$A$3:$A$6,0)),""))</f>
        <v>Pale yellow to light golden, even colour, no brown spots</v>
      </c>
      <c r="AB75" s="12" t="str">
        <f>IF(W75="","",IFERROR(INDEX(Bands!$J$3:$J$6,MATCH(W75,Bands!$A$3:$A$6,0)),""))</f>
        <v>Not deep golden-brown or reddish-brown (those match higher values). Avoid black or burnt chips.</v>
      </c>
      <c r="AE75" s="12" t="str">
        <f>IF(W75="","","Ch4a_"&amp;TEXT(COUNT($G$2:G75),"000")&amp;"_"&amp;SUBSTITUTE(W75," ","-")&amp;"_"&amp;TEXT(G75,"0")&amp;".jpg")</f>
        <v>Ch4a_064_Low_152.jpg</v>
      </c>
    </row>
    <row r="76" spans="2:31" ht="12.75" customHeight="1" x14ac:dyDescent="0.25">
      <c r="B76" s="1"/>
      <c r="C76" s="1"/>
      <c r="D76" s="6" t="s">
        <v>14</v>
      </c>
      <c r="E76" s="9">
        <v>1.0011000000000001</v>
      </c>
      <c r="F76" s="9">
        <v>14.7888014246724</v>
      </c>
      <c r="G76" s="11">
        <v>147.72551617892699</v>
      </c>
      <c r="H76" s="11"/>
      <c r="I76" s="11"/>
      <c r="J76" s="11"/>
      <c r="K76" s="11"/>
      <c r="L76" s="11"/>
      <c r="W76" s="12" t="str">
        <f>IF(NOT(ISNUMBER(G76)),"",IF(G76&lt;Bands!$B$4,"Low",IF(G76&lt;Bands!$B$5,"Medium",IF(G76&lt;Bands!$B$6,"High","Very high"))))</f>
        <v>Low</v>
      </c>
      <c r="AA76" s="12" t="str">
        <f>IF(W76="","",IFERROR(INDEX(Bands!$D$3:$D$6,MATCH(W76,Bands!$A$3:$A$6,0)),""))</f>
        <v>Pale yellow to light golden, even colour, no brown spots</v>
      </c>
      <c r="AB76" s="12" t="str">
        <f>IF(W76="","",IFERROR(INDEX(Bands!$J$3:$J$6,MATCH(W76,Bands!$A$3:$A$6,0)),""))</f>
        <v>Not deep golden-brown or reddish-brown (those match higher values). Avoid black or burnt chips.</v>
      </c>
      <c r="AE76" s="12" t="str">
        <f>IF(W76="","","Ch4a_"&amp;TEXT(COUNT($G$2:G76),"000")&amp;"_"&amp;SUBSTITUTE(W76," ","-")&amp;"_"&amp;TEXT(G76,"0")&amp;".jpg")</f>
        <v>Ch4a_065_Low_148.jpg</v>
      </c>
    </row>
    <row r="77" spans="2:31" ht="12.75" customHeight="1" x14ac:dyDescent="0.25">
      <c r="B77" s="1"/>
      <c r="C77" s="1"/>
      <c r="D77" s="6" t="s">
        <v>15</v>
      </c>
      <c r="E77" s="9">
        <v>1.0002</v>
      </c>
      <c r="F77" s="9">
        <v>35.059038273086898</v>
      </c>
      <c r="G77" s="11">
        <v>350.52027867513402</v>
      </c>
      <c r="H77" s="11"/>
      <c r="I77" s="11"/>
      <c r="J77" s="11"/>
      <c r="K77" s="11"/>
      <c r="L77" s="11"/>
      <c r="W77" s="12" t="str">
        <f>IF(NOT(ISNUMBER(G77)),"",IF(G77&lt;Bands!$B$4,"Low",IF(G77&lt;Bands!$B$5,"Medium",IF(G77&lt;Bands!$B$6,"High","Very high"))))</f>
        <v>Low</v>
      </c>
      <c r="AA77" s="12" t="str">
        <f>IF(W77="","",IFERROR(INDEX(Bands!$D$3:$D$6,MATCH(W77,Bands!$A$3:$A$6,0)),""))</f>
        <v>Pale yellow to light golden, even colour, no brown spots</v>
      </c>
      <c r="AB77" s="12" t="str">
        <f>IF(W77="","",IFERROR(INDEX(Bands!$J$3:$J$6,MATCH(W77,Bands!$A$3:$A$6,0)),""))</f>
        <v>Not deep golden-brown or reddish-brown (those match higher values). Avoid black or burnt chips.</v>
      </c>
      <c r="AE77" s="12" t="str">
        <f>IF(W77="","","Ch4a_"&amp;TEXT(COUNT($G$2:G77),"000")&amp;"_"&amp;SUBSTITUTE(W77," ","-")&amp;"_"&amp;TEXT(G77,"0")&amp;".jpg")</f>
        <v>Ch4a_066_Low_351.jpg</v>
      </c>
    </row>
    <row r="78" spans="2:31" ht="12.75" customHeight="1" x14ac:dyDescent="0.25">
      <c r="E78" s="9"/>
      <c r="F78" s="9"/>
      <c r="G78" s="11"/>
      <c r="H78" s="11"/>
      <c r="I78" s="11"/>
      <c r="J78" s="11"/>
      <c r="K78" s="11"/>
      <c r="L78" s="11"/>
    </row>
    <row r="79" spans="2:31" ht="12.75" customHeight="1" x14ac:dyDescent="0.25">
      <c r="B79" s="1" t="s">
        <v>75</v>
      </c>
      <c r="C79" s="2" t="s">
        <v>88</v>
      </c>
      <c r="D79" s="6" t="s">
        <v>10</v>
      </c>
      <c r="E79" s="9">
        <v>1.0041</v>
      </c>
      <c r="F79" s="9">
        <v>72.626262504588396</v>
      </c>
      <c r="G79" s="11">
        <v>723.29710690756303</v>
      </c>
      <c r="H79" s="11"/>
      <c r="I79" s="11"/>
      <c r="J79" s="11"/>
      <c r="K79" s="11"/>
      <c r="L79" s="11"/>
      <c r="W79" s="12" t="str">
        <f>IF(NOT(ISNUMBER(G79)),"",IF(G79&lt;Bands!$B$4,"Low",IF(G79&lt;Bands!$B$5,"Medium",IF(G79&lt;Bands!$B$6,"High","Very high"))))</f>
        <v>Medium</v>
      </c>
      <c r="AA79" s="12" t="str">
        <f>IF(W79="","",IFERROR(INDEX(Bands!$D$3:$D$6,MATCH(W79,Bands!$A$3:$A$6,0)),""))</f>
        <v>Golden yellow with light brown at some edges or small spots</v>
      </c>
      <c r="AB79" s="12" t="str">
        <f>IF(W79="","",IFERROR(INDEX(Bands!$J$3:$J$6,MATCH(W79,Bands!$A$3:$A$6,0)),""))</f>
        <v>Not pale yellow (matches a low value) and not deep reddish-brown (matches a high value). Avoid black or burnt chips.</v>
      </c>
      <c r="AE79" s="12" t="str">
        <f>IF(W79="","","Ch4a_"&amp;TEXT(COUNT($G$2:G79),"000")&amp;"_"&amp;SUBSTITUTE(W79," ","-")&amp;"_"&amp;TEXT(G79,"0")&amp;".jpg")</f>
        <v>Ch4a_067_Medium_723.jpg</v>
      </c>
    </row>
    <row r="80" spans="2:31" ht="12.75" customHeight="1" x14ac:dyDescent="0.25">
      <c r="B80" s="1"/>
      <c r="C80" s="1"/>
      <c r="D80" s="6" t="s">
        <v>11</v>
      </c>
      <c r="E80" s="9">
        <v>1.0082</v>
      </c>
      <c r="F80" s="9">
        <v>118.74182427986</v>
      </c>
      <c r="G80" s="11">
        <v>1177.7606058307899</v>
      </c>
      <c r="H80" s="11"/>
      <c r="I80" s="11"/>
      <c r="J80" s="11"/>
      <c r="K80" s="11"/>
      <c r="L80" s="11"/>
      <c r="W80" s="12" t="str">
        <f>IF(NOT(ISNUMBER(G80)),"",IF(G80&lt;Bands!$B$4,"Low",IF(G80&lt;Bands!$B$5,"Medium",IF(G80&lt;Bands!$B$6,"High","Very high"))))</f>
        <v>High</v>
      </c>
      <c r="AA80" s="12" t="str">
        <f>IF(W80="","",IFERROR(INDEX(Bands!$D$3:$D$6,MATCH(W80,Bands!$A$3:$A$6,0)),""))</f>
        <v>Golden-brown with a reddish tint, brown edges, somewhat uneven</v>
      </c>
      <c r="AB80" s="12" t="str">
        <f>IF(W80="","",IFERROR(INDEX(Bands!$J$3:$J$6,MATCH(W80,Bands!$A$3:$A$6,0)),""))</f>
        <v>Not pale yellow, which would match a low value. Not black or burnt, since very dark chips can have lower acrylamide.</v>
      </c>
      <c r="AE80" s="12" t="str">
        <f>IF(W80="","","Ch4a_"&amp;TEXT(COUNT($G$2:G80),"000")&amp;"_"&amp;SUBSTITUTE(W80," ","-")&amp;"_"&amp;TEXT(G80,"0")&amp;".jpg")</f>
        <v>Ch4a_068_High_1178.jpg</v>
      </c>
    </row>
    <row r="81" spans="2:31" ht="12.75" customHeight="1" x14ac:dyDescent="0.25">
      <c r="B81" s="1"/>
      <c r="C81" s="1"/>
      <c r="D81" s="6" t="s">
        <v>12</v>
      </c>
      <c r="E81" s="9">
        <v>1.0014000000000001</v>
      </c>
      <c r="F81" s="9">
        <v>178.33955140653299</v>
      </c>
      <c r="G81" s="11">
        <v>1780.90225091405</v>
      </c>
      <c r="H81" s="11"/>
      <c r="I81" s="11"/>
      <c r="J81" s="11"/>
      <c r="K81" s="11"/>
      <c r="L81" s="11"/>
      <c r="W81" s="12" t="str">
        <f>IF(NOT(ISNUMBER(G81)),"",IF(G81&lt;Bands!$B$4,"Low",IF(G81&lt;Bands!$B$5,"Medium",IF(G81&lt;Bands!$B$6,"High","Very high"))))</f>
        <v>High</v>
      </c>
      <c r="AA81" s="12" t="str">
        <f>IF(W81="","",IFERROR(INDEX(Bands!$D$3:$D$6,MATCH(W81,Bands!$A$3:$A$6,0)),""))</f>
        <v>Golden-brown with a reddish tint, brown edges, somewhat uneven</v>
      </c>
      <c r="AB81" s="12" t="str">
        <f>IF(W81="","",IFERROR(INDEX(Bands!$J$3:$J$6,MATCH(W81,Bands!$A$3:$A$6,0)),""))</f>
        <v>Not pale yellow, which would match a low value. Not black or burnt, since very dark chips can have lower acrylamide.</v>
      </c>
      <c r="AE81" s="12" t="str">
        <f>IF(W81="","","Ch4a_"&amp;TEXT(COUNT($G$2:G81),"000")&amp;"_"&amp;SUBSTITUTE(W81," ","-")&amp;"_"&amp;TEXT(G81,"0")&amp;".jpg")</f>
        <v>Ch4a_069_High_1781.jpg</v>
      </c>
    </row>
    <row r="82" spans="2:31" ht="12.75" customHeight="1" x14ac:dyDescent="0.25">
      <c r="B82" s="1"/>
      <c r="C82" s="1"/>
      <c r="D82" s="6" t="s">
        <v>13</v>
      </c>
      <c r="E82" s="9">
        <v>1.0012000000000001</v>
      </c>
      <c r="F82" s="9">
        <v>321.91286498124202</v>
      </c>
      <c r="G82" s="11">
        <v>3215.27032542191</v>
      </c>
      <c r="H82" s="11"/>
      <c r="I82" s="11"/>
      <c r="J82" s="11"/>
      <c r="K82" s="11"/>
      <c r="L82" s="11"/>
      <c r="W82" s="12" t="str">
        <f>IF(NOT(ISNUMBER(G82)),"",IF(G82&lt;Bands!$B$4,"Low",IF(G82&lt;Bands!$B$5,"Medium",IF(G82&lt;Bands!$B$6,"High","Very high"))))</f>
        <v>Very high</v>
      </c>
      <c r="AA82" s="12" t="str">
        <f>IF(W82="","",IFERROR(INDEX(Bands!$D$3:$D$6,MATCH(W82,Bands!$A$3:$A$6,0)),""))</f>
        <v>Deep golden-brown to medium brown with a reddish tone; edges darkest, centre golden or light brown</v>
      </c>
      <c r="AB82" s="12" t="str">
        <f>IF(W82="","",IFERROR(INDEX(Bands!$J$3:$J$6,MATCH(W82,Bands!$A$3:$A$6,0)),""))</f>
        <v>Not pale yellow, which would match a low value, or black and burnt, since very dark chips can have lower acrylamide.</v>
      </c>
      <c r="AE82" s="12" t="str">
        <f>IF(W82="","","Ch4a_"&amp;TEXT(COUNT($G$2:G82),"000")&amp;"_"&amp;SUBSTITUTE(W82," ","-")&amp;"_"&amp;TEXT(G82,"0")&amp;".jpg")</f>
        <v>Ch4a_070_Very-high_3215.jpg</v>
      </c>
    </row>
    <row r="83" spans="2:31" ht="12.75" customHeight="1" x14ac:dyDescent="0.25">
      <c r="B83" s="1"/>
      <c r="C83" s="1"/>
      <c r="D83" s="6" t="s">
        <v>14</v>
      </c>
      <c r="E83" s="9">
        <v>1.0012000000000001</v>
      </c>
      <c r="F83" s="9">
        <v>48.709288312322499</v>
      </c>
      <c r="G83" s="11">
        <v>486.50907223654099</v>
      </c>
      <c r="H83" s="11"/>
      <c r="I83" s="11"/>
      <c r="J83" s="11"/>
      <c r="K83" s="11"/>
      <c r="L83" s="11"/>
      <c r="W83" s="12" t="str">
        <f>IF(NOT(ISNUMBER(G83)),"",IF(G83&lt;Bands!$B$4,"Low",IF(G83&lt;Bands!$B$5,"Medium",IF(G83&lt;Bands!$B$6,"High","Very high"))))</f>
        <v>Low</v>
      </c>
      <c r="AA83" s="12" t="str">
        <f>IF(W83="","",IFERROR(INDEX(Bands!$D$3:$D$6,MATCH(W83,Bands!$A$3:$A$6,0)),""))</f>
        <v>Pale yellow to light golden, even colour, no brown spots</v>
      </c>
      <c r="AB83" s="12" t="str">
        <f>IF(W83="","",IFERROR(INDEX(Bands!$J$3:$J$6,MATCH(W83,Bands!$A$3:$A$6,0)),""))</f>
        <v>Not deep golden-brown or reddish-brown (those match higher values). Avoid black or burnt chips.</v>
      </c>
      <c r="AE83" s="12" t="str">
        <f>IF(W83="","","Ch4a_"&amp;TEXT(COUNT($G$2:G83),"000")&amp;"_"&amp;SUBSTITUTE(W83," ","-")&amp;"_"&amp;TEXT(G83,"0")&amp;".jpg")</f>
        <v>Ch4a_071_Low_487.jpg</v>
      </c>
    </row>
    <row r="84" spans="2:31" ht="12.75" customHeight="1" x14ac:dyDescent="0.25">
      <c r="B84" s="1"/>
      <c r="C84" s="1"/>
      <c r="D84" s="6" t="s">
        <v>15</v>
      </c>
      <c r="E84" s="9">
        <v>1.008</v>
      </c>
      <c r="F84" s="9">
        <v>279.02788202704102</v>
      </c>
      <c r="G84" s="11">
        <v>2768.13375026826</v>
      </c>
      <c r="H84" s="11"/>
      <c r="I84" s="11"/>
      <c r="J84" s="11"/>
      <c r="K84" s="11"/>
      <c r="L84" s="11"/>
      <c r="W84" s="12" t="str">
        <f>IF(NOT(ISNUMBER(G84)),"",IF(G84&lt;Bands!$B$4,"Low",IF(G84&lt;Bands!$B$5,"Medium",IF(G84&lt;Bands!$B$6,"High","Very high"))))</f>
        <v>Very high</v>
      </c>
      <c r="AA84" s="12" t="str">
        <f>IF(W84="","",IFERROR(INDEX(Bands!$D$3:$D$6,MATCH(W84,Bands!$A$3:$A$6,0)),""))</f>
        <v>Deep golden-brown to medium brown with a reddish tone; edges darkest, centre golden or light brown</v>
      </c>
      <c r="AB84" s="12" t="str">
        <f>IF(W84="","",IFERROR(INDEX(Bands!$J$3:$J$6,MATCH(W84,Bands!$A$3:$A$6,0)),""))</f>
        <v>Not pale yellow, which would match a low value, or black and burnt, since very dark chips can have lower acrylamide.</v>
      </c>
      <c r="AE84" s="12" t="str">
        <f>IF(W84="","","Ch4a_"&amp;TEXT(COUNT($G$2:G84),"000")&amp;"_"&amp;SUBSTITUTE(W84," ","-")&amp;"_"&amp;TEXT(G84,"0")&amp;".jpg")</f>
        <v>Ch4a_072_Very-high_2768.jpg</v>
      </c>
    </row>
    <row r="85" spans="2:31" ht="12.75" customHeight="1" x14ac:dyDescent="0.25">
      <c r="E85" s="9"/>
      <c r="F85" s="9"/>
      <c r="G85" s="11"/>
      <c r="H85" s="11"/>
      <c r="I85" s="11"/>
      <c r="J85" s="11"/>
      <c r="K85" s="11"/>
      <c r="L85" s="11"/>
    </row>
    <row r="86" spans="2:31" ht="12.75" customHeight="1" x14ac:dyDescent="0.25">
      <c r="B86" s="1" t="s">
        <v>77</v>
      </c>
      <c r="C86" s="2" t="s">
        <v>88</v>
      </c>
      <c r="D86" s="6" t="s">
        <v>10</v>
      </c>
      <c r="E86" s="9">
        <v>1.0016</v>
      </c>
      <c r="F86" s="9">
        <v>38.670552174567199</v>
      </c>
      <c r="G86" s="11">
        <v>386.08778129559897</v>
      </c>
      <c r="H86" s="11"/>
      <c r="I86" s="11"/>
      <c r="J86" s="11"/>
      <c r="K86" s="11"/>
      <c r="L86" s="11"/>
      <c r="W86" s="12" t="str">
        <f>IF(NOT(ISNUMBER(G86)),"",IF(G86&lt;Bands!$B$4,"Low",IF(G86&lt;Bands!$B$5,"Medium",IF(G86&lt;Bands!$B$6,"High","Very high"))))</f>
        <v>Low</v>
      </c>
      <c r="AA86" s="12" t="str">
        <f>IF(W86="","",IFERROR(INDEX(Bands!$D$3:$D$6,MATCH(W86,Bands!$A$3:$A$6,0)),""))</f>
        <v>Pale yellow to light golden, even colour, no brown spots</v>
      </c>
      <c r="AB86" s="12" t="str">
        <f>IF(W86="","",IFERROR(INDEX(Bands!$J$3:$J$6,MATCH(W86,Bands!$A$3:$A$6,0)),""))</f>
        <v>Not deep golden-brown or reddish-brown (those match higher values). Avoid black or burnt chips.</v>
      </c>
      <c r="AE86" s="12" t="str">
        <f>IF(W86="","","Ch4a_"&amp;TEXT(COUNT($G$2:G86),"000")&amp;"_"&amp;SUBSTITUTE(W86," ","-")&amp;"_"&amp;TEXT(G86,"0")&amp;".jpg")</f>
        <v>Ch4a_073_Low_386.jpg</v>
      </c>
    </row>
    <row r="87" spans="2:31" ht="12.75" customHeight="1" x14ac:dyDescent="0.25">
      <c r="B87" s="1"/>
      <c r="C87" s="1"/>
      <c r="D87" s="6" t="s">
        <v>11</v>
      </c>
      <c r="E87" s="9">
        <v>1.0003</v>
      </c>
      <c r="F87" s="9">
        <v>79.115614194251904</v>
      </c>
      <c r="G87" s="11">
        <v>790.91886628263399</v>
      </c>
      <c r="H87" s="11"/>
      <c r="I87" s="11">
        <v>41.82</v>
      </c>
      <c r="J87" s="11">
        <v>4.4800000000000004</v>
      </c>
      <c r="K87" s="11">
        <v>22.09</v>
      </c>
      <c r="L87" s="11"/>
      <c r="W87" s="12" t="str">
        <f>IF(NOT(ISNUMBER(G87)),"",IF(G87&lt;Bands!$B$4,"Low",IF(G87&lt;Bands!$B$5,"Medium",IF(G87&lt;Bands!$B$6,"High","Very high"))))</f>
        <v>Medium</v>
      </c>
      <c r="Y87" s="12" t="str">
        <f>IF(NOT(ISNUMBER(J87)),"",IF(J87&lt;Bands!$B$18,"Light",IF(J87&lt;Bands!$B$19,"Medium","Dark")))</f>
        <v>Medium</v>
      </c>
      <c r="AA87" s="12" t="str">
        <f>IF(W87="","",IFERROR(INDEX(Bands!$D$3:$D$6,MATCH(W87,Bands!$A$3:$A$6,0)),""))</f>
        <v>Golden yellow with light brown at some edges or small spots</v>
      </c>
      <c r="AB87" s="12" t="str">
        <f>IF(W87="","",IFERROR(INDEX(Bands!$J$3:$J$6,MATCH(W87,Bands!$A$3:$A$6,0)),""))</f>
        <v>Not pale yellow (matches a low value) and not deep reddish-brown (matches a high value). Avoid black or burnt chips.</v>
      </c>
      <c r="AE87" s="12" t="str">
        <f>IF(W87="","","Ch4a_"&amp;TEXT(COUNT($G$2:G87),"000")&amp;"_"&amp;SUBSTITUTE(W87," ","-")&amp;"_"&amp;TEXT(G87,"0")&amp;".jpg")</f>
        <v>Ch4a_074_Medium_791.jpg</v>
      </c>
    </row>
    <row r="88" spans="2:31" ht="12.75" customHeight="1" x14ac:dyDescent="0.25">
      <c r="B88" s="1"/>
      <c r="C88" s="1"/>
      <c r="D88" s="6" t="s">
        <v>12</v>
      </c>
      <c r="E88" s="9">
        <v>1.0101</v>
      </c>
      <c r="F88" s="9">
        <v>38.715064875529002</v>
      </c>
      <c r="G88" s="11">
        <v>383.27952554726301</v>
      </c>
      <c r="H88" s="11"/>
      <c r="I88" s="11"/>
      <c r="J88" s="11"/>
      <c r="K88" s="11"/>
      <c r="L88" s="11"/>
      <c r="W88" s="12" t="str">
        <f>IF(NOT(ISNUMBER(G88)),"",IF(G88&lt;Bands!$B$4,"Low",IF(G88&lt;Bands!$B$5,"Medium",IF(G88&lt;Bands!$B$6,"High","Very high"))))</f>
        <v>Low</v>
      </c>
      <c r="AA88" s="12" t="str">
        <f>IF(W88="","",IFERROR(INDEX(Bands!$D$3:$D$6,MATCH(W88,Bands!$A$3:$A$6,0)),""))</f>
        <v>Pale yellow to light golden, even colour, no brown spots</v>
      </c>
      <c r="AB88" s="12" t="str">
        <f>IF(W88="","",IFERROR(INDEX(Bands!$J$3:$J$6,MATCH(W88,Bands!$A$3:$A$6,0)),""))</f>
        <v>Not deep golden-brown or reddish-brown (those match higher values). Avoid black or burnt chips.</v>
      </c>
      <c r="AE88" s="12" t="str">
        <f>IF(W88="","","Ch4a_"&amp;TEXT(COUNT($G$2:G88),"000")&amp;"_"&amp;SUBSTITUTE(W88," ","-")&amp;"_"&amp;TEXT(G88,"0")&amp;".jpg")</f>
        <v>Ch4a_075_Low_383.jpg</v>
      </c>
    </row>
    <row r="89" spans="2:31" ht="12.75" customHeight="1" x14ac:dyDescent="0.25">
      <c r="B89" s="1"/>
      <c r="C89" s="1"/>
      <c r="D89" s="6" t="s">
        <v>13</v>
      </c>
      <c r="E89" s="9">
        <v>1.0062</v>
      </c>
      <c r="F89" s="9">
        <v>88.231513954731497</v>
      </c>
      <c r="G89" s="11">
        <v>876.87849289138796</v>
      </c>
      <c r="H89" s="11"/>
      <c r="I89" s="11">
        <v>48.95</v>
      </c>
      <c r="J89" s="11">
        <v>4.17</v>
      </c>
      <c r="K89" s="11">
        <v>22.61</v>
      </c>
      <c r="L89" s="11"/>
      <c r="W89" s="12" t="str">
        <f>IF(NOT(ISNUMBER(G89)),"",IF(G89&lt;Bands!$B$4,"Low",IF(G89&lt;Bands!$B$5,"Medium",IF(G89&lt;Bands!$B$6,"High","Very high"))))</f>
        <v>Medium</v>
      </c>
      <c r="Y89" s="12" t="str">
        <f>IF(NOT(ISNUMBER(J89)),"",IF(J89&lt;Bands!$B$18,"Light",IF(J89&lt;Bands!$B$19,"Medium","Dark")))</f>
        <v>Medium</v>
      </c>
      <c r="AA89" s="12" t="str">
        <f>IF(W89="","",IFERROR(INDEX(Bands!$D$3:$D$6,MATCH(W89,Bands!$A$3:$A$6,0)),""))</f>
        <v>Golden yellow with light brown at some edges or small spots</v>
      </c>
      <c r="AB89" s="12" t="str">
        <f>IF(W89="","",IFERROR(INDEX(Bands!$J$3:$J$6,MATCH(W89,Bands!$A$3:$A$6,0)),""))</f>
        <v>Not pale yellow (matches a low value) and not deep reddish-brown (matches a high value). Avoid black or burnt chips.</v>
      </c>
      <c r="AE89" s="12" t="str">
        <f>IF(W89="","","Ch4a_"&amp;TEXT(COUNT($G$2:G89),"000")&amp;"_"&amp;SUBSTITUTE(W89," ","-")&amp;"_"&amp;TEXT(G89,"0")&amp;".jpg")</f>
        <v>Ch4a_076_Medium_877.jpg</v>
      </c>
    </row>
    <row r="90" spans="2:31" ht="12.75" customHeight="1" x14ac:dyDescent="0.25">
      <c r="B90" s="1"/>
      <c r="C90" s="1"/>
      <c r="D90" s="6" t="s">
        <v>14</v>
      </c>
      <c r="E90" s="9">
        <v>1.0128999999999999</v>
      </c>
      <c r="F90" s="9">
        <v>60.352291448509703</v>
      </c>
      <c r="G90" s="11">
        <v>595.83662206051599</v>
      </c>
      <c r="H90" s="11"/>
      <c r="I90" s="11">
        <v>39.049999999999997</v>
      </c>
      <c r="J90" s="11">
        <v>6.03</v>
      </c>
      <c r="K90" s="11">
        <v>23.29</v>
      </c>
      <c r="L90" s="11"/>
      <c r="W90" s="12" t="str">
        <f>IF(NOT(ISNUMBER(G90)),"",IF(G90&lt;Bands!$B$4,"Low",IF(G90&lt;Bands!$B$5,"Medium",IF(G90&lt;Bands!$B$6,"High","Very high"))))</f>
        <v>Medium</v>
      </c>
      <c r="Y90" s="12" t="str">
        <f>IF(NOT(ISNUMBER(J90)),"",IF(J90&lt;Bands!$B$18,"Light",IF(J90&lt;Bands!$B$19,"Medium","Dark")))</f>
        <v>Dark</v>
      </c>
      <c r="AA90" s="12" t="str">
        <f>IF(W90="","",IFERROR(INDEX(Bands!$D$3:$D$6,MATCH(W90,Bands!$A$3:$A$6,0)),""))</f>
        <v>Golden yellow with light brown at some edges or small spots</v>
      </c>
      <c r="AB90" s="12" t="str">
        <f>IF(W90="","",IFERROR(INDEX(Bands!$J$3:$J$6,MATCH(W90,Bands!$A$3:$A$6,0)),""))</f>
        <v>Not pale yellow (matches a low value) and not deep reddish-brown (matches a high value). Avoid black or burnt chips.</v>
      </c>
      <c r="AE90" s="12" t="str">
        <f>IF(W90="","","Ch4a_"&amp;TEXT(COUNT($G$2:G90),"000")&amp;"_"&amp;SUBSTITUTE(W90," ","-")&amp;"_"&amp;TEXT(G90,"0")&amp;".jpg")</f>
        <v>Ch4a_077_Medium_596.jpg</v>
      </c>
    </row>
    <row r="91" spans="2:31" ht="12.75" customHeight="1" x14ac:dyDescent="0.25">
      <c r="B91" s="1"/>
      <c r="C91" s="1"/>
      <c r="D91" s="6" t="s">
        <v>15</v>
      </c>
      <c r="E91" s="9">
        <v>1.0105</v>
      </c>
      <c r="F91" s="9">
        <v>16.401970488306201</v>
      </c>
      <c r="G91" s="11">
        <v>162.31539325389599</v>
      </c>
      <c r="H91" s="11"/>
      <c r="I91" s="11"/>
      <c r="J91" s="11"/>
      <c r="K91" s="11"/>
      <c r="L91" s="11"/>
      <c r="W91" s="12" t="str">
        <f>IF(NOT(ISNUMBER(G91)),"",IF(G91&lt;Bands!$B$4,"Low",IF(G91&lt;Bands!$B$5,"Medium",IF(G91&lt;Bands!$B$6,"High","Very high"))))</f>
        <v>Low</v>
      </c>
      <c r="AA91" s="12" t="str">
        <f>IF(W91="","",IFERROR(INDEX(Bands!$D$3:$D$6,MATCH(W91,Bands!$A$3:$A$6,0)),""))</f>
        <v>Pale yellow to light golden, even colour, no brown spots</v>
      </c>
      <c r="AB91" s="12" t="str">
        <f>IF(W91="","",IFERROR(INDEX(Bands!$J$3:$J$6,MATCH(W91,Bands!$A$3:$A$6,0)),""))</f>
        <v>Not deep golden-brown or reddish-brown (those match higher values). Avoid black or burnt chips.</v>
      </c>
      <c r="AE91" s="12" t="str">
        <f>IF(W91="","","Ch4a_"&amp;TEXT(COUNT($G$2:G91),"000")&amp;"_"&amp;SUBSTITUTE(W91," ","-")&amp;"_"&amp;TEXT(G91,"0")&amp;".jpg")</f>
        <v>Ch4a_078_Low_162.jpg</v>
      </c>
    </row>
    <row r="92" spans="2:31" ht="12.75" customHeight="1" x14ac:dyDescent="0.25">
      <c r="B92" s="1"/>
      <c r="E92" s="9"/>
      <c r="F92" s="9"/>
      <c r="G92" s="11"/>
      <c r="H92" s="11"/>
      <c r="I92" s="11"/>
      <c r="J92" s="11"/>
      <c r="K92" s="11"/>
      <c r="L92" s="11"/>
    </row>
    <row r="93" spans="2:31" ht="12.75" customHeight="1" x14ac:dyDescent="0.25">
      <c r="B93" s="1"/>
      <c r="C93" s="2" t="s">
        <v>82</v>
      </c>
      <c r="D93" s="6" t="s">
        <v>10</v>
      </c>
      <c r="E93" s="9">
        <v>1.0042</v>
      </c>
      <c r="F93" s="9">
        <v>273.20542121842601</v>
      </c>
      <c r="G93" s="11">
        <v>2720.6275763635299</v>
      </c>
      <c r="H93" s="11"/>
      <c r="I93" s="11"/>
      <c r="J93" s="11"/>
      <c r="K93" s="11"/>
      <c r="L93" s="11"/>
      <c r="W93" s="12" t="str">
        <f>IF(NOT(ISNUMBER(G93)),"",IF(G93&lt;Bands!$B$4,"Low",IF(G93&lt;Bands!$B$5,"Medium",IF(G93&lt;Bands!$B$6,"High","Very high"))))</f>
        <v>Very high</v>
      </c>
      <c r="AA93" s="12" t="str">
        <f>IF(W93="","",IFERROR(INDEX(Bands!$D$3:$D$6,MATCH(W93,Bands!$A$3:$A$6,0)),""))</f>
        <v>Deep golden-brown to medium brown with a reddish tone; edges darkest, centre golden or light brown</v>
      </c>
      <c r="AB93" s="12" t="str">
        <f>IF(W93="","",IFERROR(INDEX(Bands!$J$3:$J$6,MATCH(W93,Bands!$A$3:$A$6,0)),""))</f>
        <v>Not pale yellow, which would match a low value, or black and burnt, since very dark chips can have lower acrylamide.</v>
      </c>
      <c r="AE93" s="12" t="str">
        <f>IF(W93="","","Ch4a_"&amp;TEXT(COUNT($G$2:G93),"000")&amp;"_"&amp;SUBSTITUTE(W93," ","-")&amp;"_"&amp;TEXT(G93,"0")&amp;".jpg")</f>
        <v>Ch4a_079_Very-high_2721.jpg</v>
      </c>
    </row>
    <row r="94" spans="2:31" ht="12.75" customHeight="1" x14ac:dyDescent="0.25">
      <c r="B94" s="1"/>
      <c r="C94" s="1"/>
      <c r="D94" s="6" t="s">
        <v>11</v>
      </c>
      <c r="E94" s="9">
        <v>1.0059</v>
      </c>
      <c r="F94" s="9">
        <v>39.954911230095803</v>
      </c>
      <c r="G94" s="11">
        <v>397.20559926529302</v>
      </c>
      <c r="H94" s="11"/>
      <c r="I94" s="11"/>
      <c r="J94" s="11"/>
      <c r="K94" s="11"/>
      <c r="L94" s="11"/>
      <c r="W94" s="12" t="str">
        <f>IF(NOT(ISNUMBER(G94)),"",IF(G94&lt;Bands!$B$4,"Low",IF(G94&lt;Bands!$B$5,"Medium",IF(G94&lt;Bands!$B$6,"High","Very high"))))</f>
        <v>Low</v>
      </c>
      <c r="AA94" s="12" t="str">
        <f>IF(W94="","",IFERROR(INDEX(Bands!$D$3:$D$6,MATCH(W94,Bands!$A$3:$A$6,0)),""))</f>
        <v>Pale yellow to light golden, even colour, no brown spots</v>
      </c>
      <c r="AB94" s="12" t="str">
        <f>IF(W94="","",IFERROR(INDEX(Bands!$J$3:$J$6,MATCH(W94,Bands!$A$3:$A$6,0)),""))</f>
        <v>Not deep golden-brown or reddish-brown (those match higher values). Avoid black or burnt chips.</v>
      </c>
      <c r="AE94" s="12" t="str">
        <f>IF(W94="","","Ch4a_"&amp;TEXT(COUNT($G$2:G94),"000")&amp;"_"&amp;SUBSTITUTE(W94," ","-")&amp;"_"&amp;TEXT(G94,"0")&amp;".jpg")</f>
        <v>Ch4a_080_Low_397.jpg</v>
      </c>
    </row>
    <row r="95" spans="2:31" ht="12.75" customHeight="1" x14ac:dyDescent="0.25">
      <c r="B95" s="1"/>
      <c r="C95" s="1"/>
      <c r="D95" s="6" t="s">
        <v>12</v>
      </c>
      <c r="E95" s="9">
        <v>1.0069999999999999</v>
      </c>
      <c r="F95" s="9">
        <v>339.23423064507602</v>
      </c>
      <c r="G95" s="11">
        <v>3368.76097959361</v>
      </c>
      <c r="H95" s="11"/>
      <c r="I95" s="11">
        <v>41.82</v>
      </c>
      <c r="J95" s="11">
        <v>8.7799999999999994</v>
      </c>
      <c r="K95" s="11">
        <v>25.83</v>
      </c>
      <c r="L95" s="11"/>
      <c r="W95" s="12" t="str">
        <f>IF(NOT(ISNUMBER(G95)),"",IF(G95&lt;Bands!$B$4,"Low",IF(G95&lt;Bands!$B$5,"Medium",IF(G95&lt;Bands!$B$6,"High","Very high"))))</f>
        <v>Very high</v>
      </c>
      <c r="Y95" s="12" t="str">
        <f>IF(NOT(ISNUMBER(J95)),"",IF(J95&lt;Bands!$B$18,"Light",IF(J95&lt;Bands!$B$19,"Medium","Dark")))</f>
        <v>Dark</v>
      </c>
      <c r="AA95" s="12" t="str">
        <f>IF(W95="","",IFERROR(INDEX(Bands!$D$3:$D$6,MATCH(W95,Bands!$A$3:$A$6,0)),""))</f>
        <v>Deep golden-brown to medium brown with a reddish tone; edges darkest, centre golden or light brown</v>
      </c>
      <c r="AB95" s="12" t="str">
        <f>IF(W95="","",IFERROR(INDEX(Bands!$J$3:$J$6,MATCH(W95,Bands!$A$3:$A$6,0)),""))</f>
        <v>Not pale yellow, which would match a low value, or black and burnt, since very dark chips can have lower acrylamide.</v>
      </c>
      <c r="AE95" s="12" t="str">
        <f>IF(W95="","","Ch4a_"&amp;TEXT(COUNT($G$2:G95),"000")&amp;"_"&amp;SUBSTITUTE(W95," ","-")&amp;"_"&amp;TEXT(G95,"0")&amp;".jpg")</f>
        <v>Ch4a_081_Very-high_3369.jpg</v>
      </c>
    </row>
    <row r="96" spans="2:31" ht="12.75" customHeight="1" x14ac:dyDescent="0.25">
      <c r="B96" s="1"/>
      <c r="C96" s="1"/>
      <c r="D96" s="6" t="s">
        <v>13</v>
      </c>
      <c r="E96" s="9">
        <v>1.0046999999999999</v>
      </c>
      <c r="F96" s="9">
        <v>141.89395179425199</v>
      </c>
      <c r="G96" s="11">
        <v>1412.3016999527399</v>
      </c>
      <c r="H96" s="11"/>
      <c r="I96" s="11">
        <v>41.81</v>
      </c>
      <c r="J96" s="11">
        <v>5.82</v>
      </c>
      <c r="K96" s="11">
        <v>23.55</v>
      </c>
      <c r="L96" s="11"/>
      <c r="W96" s="12" t="str">
        <f>IF(NOT(ISNUMBER(G96)),"",IF(G96&lt;Bands!$B$4,"Low",IF(G96&lt;Bands!$B$5,"Medium",IF(G96&lt;Bands!$B$6,"High","Very high"))))</f>
        <v>High</v>
      </c>
      <c r="Y96" s="12" t="str">
        <f>IF(NOT(ISNUMBER(J96)),"",IF(J96&lt;Bands!$B$18,"Light",IF(J96&lt;Bands!$B$19,"Medium","Dark")))</f>
        <v>Dark</v>
      </c>
      <c r="AA96" s="12" t="str">
        <f>IF(W96="","",IFERROR(INDEX(Bands!$D$3:$D$6,MATCH(W96,Bands!$A$3:$A$6,0)),""))</f>
        <v>Golden-brown with a reddish tint, brown edges, somewhat uneven</v>
      </c>
      <c r="AB96" s="12" t="str">
        <f>IF(W96="","",IFERROR(INDEX(Bands!$J$3:$J$6,MATCH(W96,Bands!$A$3:$A$6,0)),""))</f>
        <v>Not pale yellow, which would match a low value. Not black or burnt, since very dark chips can have lower acrylamide.</v>
      </c>
      <c r="AE96" s="12" t="str">
        <f>IF(W96="","","Ch4a_"&amp;TEXT(COUNT($G$2:G96),"000")&amp;"_"&amp;SUBSTITUTE(W96," ","-")&amp;"_"&amp;TEXT(G96,"0")&amp;".jpg")</f>
        <v>Ch4a_082_High_1412.jpg</v>
      </c>
    </row>
    <row r="97" spans="2:31" ht="12.75" customHeight="1" x14ac:dyDescent="0.25">
      <c r="B97" s="1"/>
      <c r="C97" s="1"/>
      <c r="D97" s="6" t="s">
        <v>14</v>
      </c>
      <c r="E97" s="9">
        <v>1.0027999999999999</v>
      </c>
      <c r="F97" s="9">
        <v>80.885642647386007</v>
      </c>
      <c r="G97" s="11">
        <v>806.59795220767899</v>
      </c>
      <c r="H97" s="11"/>
      <c r="I97" s="11"/>
      <c r="J97" s="11"/>
      <c r="K97" s="11"/>
      <c r="L97" s="11"/>
      <c r="W97" s="12" t="str">
        <f>IF(NOT(ISNUMBER(G97)),"",IF(G97&lt;Bands!$B$4,"Low",IF(G97&lt;Bands!$B$5,"Medium",IF(G97&lt;Bands!$B$6,"High","Very high"))))</f>
        <v>Medium</v>
      </c>
      <c r="AA97" s="12" t="str">
        <f>IF(W97="","",IFERROR(INDEX(Bands!$D$3:$D$6,MATCH(W97,Bands!$A$3:$A$6,0)),""))</f>
        <v>Golden yellow with light brown at some edges or small spots</v>
      </c>
      <c r="AB97" s="12" t="str">
        <f>IF(W97="","",IFERROR(INDEX(Bands!$J$3:$J$6,MATCH(W97,Bands!$A$3:$A$6,0)),""))</f>
        <v>Not pale yellow (matches a low value) and not deep reddish-brown (matches a high value). Avoid black or burnt chips.</v>
      </c>
      <c r="AE97" s="12" t="str">
        <f>IF(W97="","","Ch4a_"&amp;TEXT(COUNT($G$2:G97),"000")&amp;"_"&amp;SUBSTITUTE(W97," ","-")&amp;"_"&amp;TEXT(G97,"0")&amp;".jpg")</f>
        <v>Ch4a_083_Medium_807.jpg</v>
      </c>
    </row>
    <row r="98" spans="2:31" ht="12.75" customHeight="1" x14ac:dyDescent="0.25">
      <c r="B98" s="1"/>
      <c r="C98" s="1"/>
      <c r="D98" s="6" t="s">
        <v>15</v>
      </c>
      <c r="E98" s="9">
        <v>1.0033000000000001</v>
      </c>
      <c r="F98" s="9">
        <v>303.10052694912002</v>
      </c>
      <c r="G98" s="11">
        <v>3021.0358511823001</v>
      </c>
      <c r="H98" s="11"/>
      <c r="I98" s="11">
        <v>40.39</v>
      </c>
      <c r="J98" s="11">
        <v>7.58</v>
      </c>
      <c r="K98" s="11">
        <v>24.52</v>
      </c>
      <c r="L98" s="11"/>
      <c r="W98" s="12" t="str">
        <f>IF(NOT(ISNUMBER(G98)),"",IF(G98&lt;Bands!$B$4,"Low",IF(G98&lt;Bands!$B$5,"Medium",IF(G98&lt;Bands!$B$6,"High","Very high"))))</f>
        <v>Very high</v>
      </c>
      <c r="Y98" s="12" t="str">
        <f>IF(NOT(ISNUMBER(J98)),"",IF(J98&lt;Bands!$B$18,"Light",IF(J98&lt;Bands!$B$19,"Medium","Dark")))</f>
        <v>Dark</v>
      </c>
      <c r="AA98" s="12" t="str">
        <f>IF(W98="","",IFERROR(INDEX(Bands!$D$3:$D$6,MATCH(W98,Bands!$A$3:$A$6,0)),""))</f>
        <v>Deep golden-brown to medium brown with a reddish tone; edges darkest, centre golden or light brown</v>
      </c>
      <c r="AB98" s="12" t="str">
        <f>IF(W98="","",IFERROR(INDEX(Bands!$J$3:$J$6,MATCH(W98,Bands!$A$3:$A$6,0)),""))</f>
        <v>Not pale yellow, which would match a low value, or black and burnt, since very dark chips can have lower acrylamide.</v>
      </c>
      <c r="AE98" s="12" t="str">
        <f>IF(W98="","","Ch4a_"&amp;TEXT(COUNT($G$2:G98),"000")&amp;"_"&amp;SUBSTITUTE(W98," ","-")&amp;"_"&amp;TEXT(G98,"0")&amp;".jpg")</f>
        <v>Ch4a_084_Very-high_3021.jpg</v>
      </c>
    </row>
    <row r="99" spans="2:31" ht="12.75" customHeight="1" x14ac:dyDescent="0.25">
      <c r="E99" s="9"/>
      <c r="F99" s="9"/>
      <c r="G99" s="11"/>
      <c r="H99" s="11"/>
      <c r="I99" s="11"/>
      <c r="J99" s="11"/>
      <c r="K99" s="11"/>
      <c r="L99" s="11"/>
    </row>
    <row r="100" spans="2:31" ht="12.75" customHeight="1" x14ac:dyDescent="0.25">
      <c r="B100" s="1" t="s">
        <v>81</v>
      </c>
      <c r="C100" s="2" t="s">
        <v>88</v>
      </c>
      <c r="D100" s="6" t="s">
        <v>10</v>
      </c>
      <c r="E100" s="9">
        <v>1.002</v>
      </c>
      <c r="F100" s="9">
        <v>125.681419117231</v>
      </c>
      <c r="G100" s="11">
        <v>1254.30558001229</v>
      </c>
      <c r="H100" s="11"/>
      <c r="I100" s="11"/>
      <c r="J100" s="11"/>
      <c r="K100" s="11"/>
      <c r="L100" s="11"/>
      <c r="W100" s="12" t="str">
        <f>IF(NOT(ISNUMBER(G100)),"",IF(G100&lt;Bands!$B$4,"Low",IF(G100&lt;Bands!$B$5,"Medium",IF(G100&lt;Bands!$B$6,"High","Very high"))))</f>
        <v>High</v>
      </c>
      <c r="AA100" s="12" t="str">
        <f>IF(W100="","",IFERROR(INDEX(Bands!$D$3:$D$6,MATCH(W100,Bands!$A$3:$A$6,0)),""))</f>
        <v>Golden-brown with a reddish tint, brown edges, somewhat uneven</v>
      </c>
      <c r="AB100" s="12" t="str">
        <f>IF(W100="","",IFERROR(INDEX(Bands!$J$3:$J$6,MATCH(W100,Bands!$A$3:$A$6,0)),""))</f>
        <v>Not pale yellow, which would match a low value. Not black or burnt, since very dark chips can have lower acrylamide.</v>
      </c>
      <c r="AE100" s="12" t="str">
        <f>IF(W100="","","Ch4a_"&amp;TEXT(COUNT($G$2:G100),"000")&amp;"_"&amp;SUBSTITUTE(W100," ","-")&amp;"_"&amp;TEXT(G100,"0")&amp;".jpg")</f>
        <v>Ch4a_085_High_1254.jpg</v>
      </c>
    </row>
    <row r="101" spans="2:31" ht="12.75" customHeight="1" x14ac:dyDescent="0.25">
      <c r="B101" s="1"/>
      <c r="C101" s="1"/>
      <c r="D101" s="6" t="s">
        <v>11</v>
      </c>
      <c r="E101" s="9">
        <v>1.0072000000000001</v>
      </c>
      <c r="F101" s="9">
        <v>205.41531936857001</v>
      </c>
      <c r="G101" s="11">
        <v>2039.4690167649901</v>
      </c>
      <c r="H101" s="11"/>
      <c r="I101" s="11"/>
      <c r="J101" s="11"/>
      <c r="K101" s="11"/>
      <c r="L101" s="11"/>
      <c r="W101" s="12" t="str">
        <f>IF(NOT(ISNUMBER(G101)),"",IF(G101&lt;Bands!$B$4,"Low",IF(G101&lt;Bands!$B$5,"Medium",IF(G101&lt;Bands!$B$6,"High","Very high"))))</f>
        <v>Very high</v>
      </c>
      <c r="AA101" s="12" t="str">
        <f>IF(W101="","",IFERROR(INDEX(Bands!$D$3:$D$6,MATCH(W101,Bands!$A$3:$A$6,0)),""))</f>
        <v>Deep golden-brown to medium brown with a reddish tone; edges darkest, centre golden or light brown</v>
      </c>
      <c r="AB101" s="12" t="str">
        <f>IF(W101="","",IFERROR(INDEX(Bands!$J$3:$J$6,MATCH(W101,Bands!$A$3:$A$6,0)),""))</f>
        <v>Not pale yellow, which would match a low value, or black and burnt, since very dark chips can have lower acrylamide.</v>
      </c>
      <c r="AE101" s="12" t="str">
        <f>IF(W101="","","Ch4a_"&amp;TEXT(COUNT($G$2:G101),"000")&amp;"_"&amp;SUBSTITUTE(W101," ","-")&amp;"_"&amp;TEXT(G101,"0")&amp;".jpg")</f>
        <v>Ch4a_086_Very-high_2039.jpg</v>
      </c>
    </row>
    <row r="102" spans="2:31" ht="12.75" customHeight="1" x14ac:dyDescent="0.25">
      <c r="B102" s="1"/>
      <c r="C102" s="1"/>
      <c r="D102" s="6" t="s">
        <v>12</v>
      </c>
      <c r="E102" s="9">
        <v>1.0044</v>
      </c>
      <c r="F102" s="9">
        <v>166.043914707704</v>
      </c>
      <c r="G102" s="11">
        <v>1653.1652201085601</v>
      </c>
      <c r="H102" s="11"/>
      <c r="I102" s="11"/>
      <c r="J102" s="11"/>
      <c r="K102" s="11"/>
      <c r="L102" s="11"/>
      <c r="W102" s="12" t="str">
        <f>IF(NOT(ISNUMBER(G102)),"",IF(G102&lt;Bands!$B$4,"Low",IF(G102&lt;Bands!$B$5,"Medium",IF(G102&lt;Bands!$B$6,"High","Very high"))))</f>
        <v>High</v>
      </c>
      <c r="AA102" s="12" t="str">
        <f>IF(W102="","",IFERROR(INDEX(Bands!$D$3:$D$6,MATCH(W102,Bands!$A$3:$A$6,0)),""))</f>
        <v>Golden-brown with a reddish tint, brown edges, somewhat uneven</v>
      </c>
      <c r="AB102" s="12" t="str">
        <f>IF(W102="","",IFERROR(INDEX(Bands!$J$3:$J$6,MATCH(W102,Bands!$A$3:$A$6,0)),""))</f>
        <v>Not pale yellow, which would match a low value. Not black or burnt, since very dark chips can have lower acrylamide.</v>
      </c>
      <c r="AE102" s="12" t="str">
        <f>IF(W102="","","Ch4a_"&amp;TEXT(COUNT($G$2:G102),"000")&amp;"_"&amp;SUBSTITUTE(W102," ","-")&amp;"_"&amp;TEXT(G102,"0")&amp;".jpg")</f>
        <v>Ch4a_087_High_1653.jpg</v>
      </c>
    </row>
    <row r="103" spans="2:31" ht="12.75" customHeight="1" x14ac:dyDescent="0.25">
      <c r="B103" s="1"/>
      <c r="C103" s="1"/>
      <c r="D103" s="6" t="s">
        <v>13</v>
      </c>
      <c r="E103" s="9">
        <v>1.0041</v>
      </c>
      <c r="F103" s="9">
        <v>458.54451546650699</v>
      </c>
      <c r="G103" s="11">
        <v>4566.7215961209704</v>
      </c>
      <c r="H103" s="11"/>
      <c r="I103" s="11"/>
      <c r="J103" s="11"/>
      <c r="K103" s="11"/>
      <c r="L103" s="11"/>
      <c r="W103" s="12" t="str">
        <f>IF(NOT(ISNUMBER(G103)),"",IF(G103&lt;Bands!$B$4,"Low",IF(G103&lt;Bands!$B$5,"Medium",IF(G103&lt;Bands!$B$6,"High","Very high"))))</f>
        <v>Very high</v>
      </c>
      <c r="AA103" s="12" t="str">
        <f>IF(W103="","",IFERROR(INDEX(Bands!$D$3:$D$6,MATCH(W103,Bands!$A$3:$A$6,0)),""))</f>
        <v>Deep golden-brown to medium brown with a reddish tone; edges darkest, centre golden or light brown</v>
      </c>
      <c r="AB103" s="12" t="str">
        <f>IF(W103="","",IFERROR(INDEX(Bands!$J$3:$J$6,MATCH(W103,Bands!$A$3:$A$6,0)),""))</f>
        <v>Not pale yellow, which would match a low value, or black and burnt, since very dark chips can have lower acrylamide.</v>
      </c>
      <c r="AE103" s="12" t="str">
        <f>IF(W103="","","Ch4a_"&amp;TEXT(COUNT($G$2:G103),"000")&amp;"_"&amp;SUBSTITUTE(W103," ","-")&amp;"_"&amp;TEXT(G103,"0")&amp;".jpg")</f>
        <v>Ch4a_088_Very-high_4567.jpg</v>
      </c>
    </row>
    <row r="104" spans="2:31" ht="12.75" customHeight="1" x14ac:dyDescent="0.25">
      <c r="B104" s="1"/>
      <c r="C104" s="1"/>
      <c r="D104" s="6" t="s">
        <v>14</v>
      </c>
      <c r="E104" s="9">
        <v>1.0068999999999999</v>
      </c>
      <c r="F104" s="9">
        <v>84.047138959287295</v>
      </c>
      <c r="G104" s="11">
        <v>834.71187763717705</v>
      </c>
      <c r="H104" s="11"/>
      <c r="I104" s="11"/>
      <c r="J104" s="11"/>
      <c r="K104" s="11"/>
      <c r="L104" s="11"/>
      <c r="W104" s="12" t="str">
        <f>IF(NOT(ISNUMBER(G104)),"",IF(G104&lt;Bands!$B$4,"Low",IF(G104&lt;Bands!$B$5,"Medium",IF(G104&lt;Bands!$B$6,"High","Very high"))))</f>
        <v>Medium</v>
      </c>
      <c r="AA104" s="12" t="str">
        <f>IF(W104="","",IFERROR(INDEX(Bands!$D$3:$D$6,MATCH(W104,Bands!$A$3:$A$6,0)),""))</f>
        <v>Golden yellow with light brown at some edges or small spots</v>
      </c>
      <c r="AB104" s="12" t="str">
        <f>IF(W104="","",IFERROR(INDEX(Bands!$J$3:$J$6,MATCH(W104,Bands!$A$3:$A$6,0)),""))</f>
        <v>Not pale yellow (matches a low value) and not deep reddish-brown (matches a high value). Avoid black or burnt chips.</v>
      </c>
      <c r="AE104" s="12" t="str">
        <f>IF(W104="","","Ch4a_"&amp;TEXT(COUNT($G$2:G104),"000")&amp;"_"&amp;SUBSTITUTE(W104," ","-")&amp;"_"&amp;TEXT(G104,"0")&amp;".jpg")</f>
        <v>Ch4a_089_Medium_835.jpg</v>
      </c>
    </row>
    <row r="105" spans="2:31" ht="12.75" customHeight="1" x14ac:dyDescent="0.25">
      <c r="B105" s="1"/>
      <c r="C105" s="1"/>
      <c r="D105" s="6" t="s">
        <v>15</v>
      </c>
      <c r="E105" s="9">
        <v>1.004</v>
      </c>
      <c r="F105" s="9">
        <v>292.07285823997103</v>
      </c>
      <c r="G105" s="11">
        <v>2909.0922135455298</v>
      </c>
      <c r="H105" s="11"/>
      <c r="I105" s="11"/>
      <c r="J105" s="11"/>
      <c r="K105" s="11"/>
      <c r="L105" s="11"/>
      <c r="W105" s="12" t="str">
        <f>IF(NOT(ISNUMBER(G105)),"",IF(G105&lt;Bands!$B$4,"Low",IF(G105&lt;Bands!$B$5,"Medium",IF(G105&lt;Bands!$B$6,"High","Very high"))))</f>
        <v>Very high</v>
      </c>
      <c r="AA105" s="12" t="str">
        <f>IF(W105="","",IFERROR(INDEX(Bands!$D$3:$D$6,MATCH(W105,Bands!$A$3:$A$6,0)),""))</f>
        <v>Deep golden-brown to medium brown with a reddish tone; edges darkest, centre golden or light brown</v>
      </c>
      <c r="AB105" s="12" t="str">
        <f>IF(W105="","",IFERROR(INDEX(Bands!$J$3:$J$6,MATCH(W105,Bands!$A$3:$A$6,0)),""))</f>
        <v>Not pale yellow, which would match a low value, or black and burnt, since very dark chips can have lower acrylamide.</v>
      </c>
      <c r="AE105" s="12" t="str">
        <f>IF(W105="","","Ch4a_"&amp;TEXT(COUNT($G$2:G105),"000")&amp;"_"&amp;SUBSTITUTE(W105," ","-")&amp;"_"&amp;TEXT(G105,"0")&amp;".jpg")</f>
        <v>Ch4a_090_Very-high_2909.jpg</v>
      </c>
    </row>
    <row r="106" spans="2:31" ht="12.75" customHeight="1" x14ac:dyDescent="0.25">
      <c r="B106" s="1"/>
      <c r="E106" s="9"/>
      <c r="F106" s="9"/>
      <c r="G106" s="11"/>
      <c r="H106" s="11"/>
      <c r="I106" s="11"/>
      <c r="J106" s="11"/>
      <c r="K106" s="11"/>
      <c r="L106" s="11"/>
    </row>
    <row r="107" spans="2:31" ht="12.75" customHeight="1" x14ac:dyDescent="0.25">
      <c r="B107" s="1"/>
      <c r="C107" s="2" t="s">
        <v>82</v>
      </c>
      <c r="D107" s="6" t="s">
        <v>10</v>
      </c>
      <c r="E107" s="9">
        <v>1.0039</v>
      </c>
      <c r="F107" s="9">
        <v>540.70435228725103</v>
      </c>
      <c r="G107" s="11">
        <v>5386.0379747709003</v>
      </c>
      <c r="H107" s="11"/>
      <c r="I107" s="11"/>
      <c r="J107" s="11"/>
      <c r="K107" s="11"/>
      <c r="L107" s="11"/>
      <c r="W107" s="12" t="str">
        <f>IF(NOT(ISNUMBER(G107)),"",IF(G107&lt;Bands!$B$4,"Low",IF(G107&lt;Bands!$B$5,"Medium",IF(G107&lt;Bands!$B$6,"High","Very high"))))</f>
        <v>Very high</v>
      </c>
      <c r="AA107" s="12" t="str">
        <f>IF(W107="","",IFERROR(INDEX(Bands!$D$3:$D$6,MATCH(W107,Bands!$A$3:$A$6,0)),""))</f>
        <v>Deep golden-brown to medium brown with a reddish tone; edges darkest, centre golden or light brown</v>
      </c>
      <c r="AB107" s="12" t="str">
        <f>IF(W107="","",IFERROR(INDEX(Bands!$J$3:$J$6,MATCH(W107,Bands!$A$3:$A$6,0)),""))</f>
        <v>Not pale yellow, which would match a low value, or black and burnt, since very dark chips can have lower acrylamide.</v>
      </c>
      <c r="AE107" s="12" t="str">
        <f>IF(W107="","","Ch4a_"&amp;TEXT(COUNT($G$2:G107),"000")&amp;"_"&amp;SUBSTITUTE(W107," ","-")&amp;"_"&amp;TEXT(G107,"0")&amp;".jpg")</f>
        <v>Ch4a_091_Very-high_5386.jpg</v>
      </c>
    </row>
    <row r="108" spans="2:31" ht="12.75" customHeight="1" x14ac:dyDescent="0.25">
      <c r="B108" s="1"/>
      <c r="C108" s="1"/>
      <c r="D108" s="6" t="s">
        <v>11</v>
      </c>
      <c r="E108" s="9">
        <v>1.0063</v>
      </c>
      <c r="F108" s="9">
        <v>199.724420879327</v>
      </c>
      <c r="G108" s="11">
        <v>1984.7403446221499</v>
      </c>
      <c r="H108" s="11"/>
      <c r="I108" s="11"/>
      <c r="J108" s="11"/>
      <c r="K108" s="11"/>
      <c r="L108" s="11"/>
      <c r="W108" s="12" t="str">
        <f>IF(NOT(ISNUMBER(G108)),"",IF(G108&lt;Bands!$B$4,"Low",IF(G108&lt;Bands!$B$5,"Medium",IF(G108&lt;Bands!$B$6,"High","Very high"))))</f>
        <v>High</v>
      </c>
      <c r="AA108" s="12" t="str">
        <f>IF(W108="","",IFERROR(INDEX(Bands!$D$3:$D$6,MATCH(W108,Bands!$A$3:$A$6,0)),""))</f>
        <v>Golden-brown with a reddish tint, brown edges, somewhat uneven</v>
      </c>
      <c r="AB108" s="12" t="str">
        <f>IF(W108="","",IFERROR(INDEX(Bands!$J$3:$J$6,MATCH(W108,Bands!$A$3:$A$6,0)),""))</f>
        <v>Not pale yellow, which would match a low value. Not black or burnt, since very dark chips can have lower acrylamide.</v>
      </c>
      <c r="AE108" s="12" t="str">
        <f>IF(W108="","","Ch4a_"&amp;TEXT(COUNT($G$2:G108),"000")&amp;"_"&amp;SUBSTITUTE(W108," ","-")&amp;"_"&amp;TEXT(G108,"0")&amp;".jpg")</f>
        <v>Ch4a_092_High_1985.jpg</v>
      </c>
    </row>
    <row r="109" spans="2:31" ht="12.75" customHeight="1" x14ac:dyDescent="0.25">
      <c r="B109" s="1"/>
      <c r="C109" s="1"/>
      <c r="D109" s="6" t="s">
        <v>12</v>
      </c>
      <c r="E109" s="9">
        <v>1.0005999999999999</v>
      </c>
      <c r="F109" s="9">
        <v>28.2824655437228</v>
      </c>
      <c r="G109" s="11">
        <v>282.65506239978799</v>
      </c>
      <c r="H109" s="11"/>
      <c r="I109" s="11"/>
      <c r="J109" s="11"/>
      <c r="K109" s="11"/>
      <c r="L109" s="11"/>
      <c r="W109" s="12" t="str">
        <f>IF(NOT(ISNUMBER(G109)),"",IF(G109&lt;Bands!$B$4,"Low",IF(G109&lt;Bands!$B$5,"Medium",IF(G109&lt;Bands!$B$6,"High","Very high"))))</f>
        <v>Low</v>
      </c>
      <c r="AA109" s="12" t="str">
        <f>IF(W109="","",IFERROR(INDEX(Bands!$D$3:$D$6,MATCH(W109,Bands!$A$3:$A$6,0)),""))</f>
        <v>Pale yellow to light golden, even colour, no brown spots</v>
      </c>
      <c r="AB109" s="12" t="str">
        <f>IF(W109="","",IFERROR(INDEX(Bands!$J$3:$J$6,MATCH(W109,Bands!$A$3:$A$6,0)),""))</f>
        <v>Not deep golden-brown or reddish-brown (those match higher values). Avoid black or burnt chips.</v>
      </c>
      <c r="AE109" s="12" t="str">
        <f>IF(W109="","","Ch4a_"&amp;TEXT(COUNT($G$2:G109),"000")&amp;"_"&amp;SUBSTITUTE(W109," ","-")&amp;"_"&amp;TEXT(G109,"0")&amp;".jpg")</f>
        <v>Ch4a_093_Low_283.jpg</v>
      </c>
    </row>
    <row r="110" spans="2:31" ht="12.75" customHeight="1" x14ac:dyDescent="0.25">
      <c r="B110" s="1"/>
      <c r="C110" s="1"/>
      <c r="D110" s="6" t="s">
        <v>13</v>
      </c>
      <c r="E110" s="9">
        <v>1.0032000000000001</v>
      </c>
      <c r="F110" s="9">
        <v>331.71825919183101</v>
      </c>
      <c r="G110" s="11">
        <v>3306.6014672232</v>
      </c>
      <c r="H110" s="11"/>
      <c r="I110" s="11"/>
      <c r="J110" s="11"/>
      <c r="K110" s="11"/>
      <c r="L110" s="11"/>
      <c r="W110" s="12" t="str">
        <f>IF(NOT(ISNUMBER(G110)),"",IF(G110&lt;Bands!$B$4,"Low",IF(G110&lt;Bands!$B$5,"Medium",IF(G110&lt;Bands!$B$6,"High","Very high"))))</f>
        <v>Very high</v>
      </c>
      <c r="AA110" s="12" t="str">
        <f>IF(W110="","",IFERROR(INDEX(Bands!$D$3:$D$6,MATCH(W110,Bands!$A$3:$A$6,0)),""))</f>
        <v>Deep golden-brown to medium brown with a reddish tone; edges darkest, centre golden or light brown</v>
      </c>
      <c r="AB110" s="12" t="str">
        <f>IF(W110="","",IFERROR(INDEX(Bands!$J$3:$J$6,MATCH(W110,Bands!$A$3:$A$6,0)),""))</f>
        <v>Not pale yellow, which would match a low value, or black and burnt, since very dark chips can have lower acrylamide.</v>
      </c>
      <c r="AE110" s="12" t="str">
        <f>IF(W110="","","Ch4a_"&amp;TEXT(COUNT($G$2:G110),"000")&amp;"_"&amp;SUBSTITUTE(W110," ","-")&amp;"_"&amp;TEXT(G110,"0")&amp;".jpg")</f>
        <v>Ch4a_094_Very-high_3307.jpg</v>
      </c>
    </row>
    <row r="111" spans="2:31" ht="12.75" customHeight="1" x14ac:dyDescent="0.25">
      <c r="B111" s="1"/>
      <c r="C111" s="1"/>
      <c r="D111" s="6" t="s">
        <v>14</v>
      </c>
      <c r="E111" s="9">
        <v>1.0072000000000001</v>
      </c>
      <c r="F111" s="9">
        <v>71.994131142598107</v>
      </c>
      <c r="G111" s="11">
        <v>714.79478894557303</v>
      </c>
      <c r="H111" s="11"/>
      <c r="I111" s="11"/>
      <c r="J111" s="11"/>
      <c r="K111" s="11"/>
      <c r="L111" s="11"/>
      <c r="W111" s="12" t="str">
        <f>IF(NOT(ISNUMBER(G111)),"",IF(G111&lt;Bands!$B$4,"Low",IF(G111&lt;Bands!$B$5,"Medium",IF(G111&lt;Bands!$B$6,"High","Very high"))))</f>
        <v>Medium</v>
      </c>
      <c r="AA111" s="12" t="str">
        <f>IF(W111="","",IFERROR(INDEX(Bands!$D$3:$D$6,MATCH(W111,Bands!$A$3:$A$6,0)),""))</f>
        <v>Golden yellow with light brown at some edges or small spots</v>
      </c>
      <c r="AB111" s="12" t="str">
        <f>IF(W111="","",IFERROR(INDEX(Bands!$J$3:$J$6,MATCH(W111,Bands!$A$3:$A$6,0)),""))</f>
        <v>Not pale yellow (matches a low value) and not deep reddish-brown (matches a high value). Avoid black or burnt chips.</v>
      </c>
      <c r="AE111" s="12" t="str">
        <f>IF(W111="","","Ch4a_"&amp;TEXT(COUNT($G$2:G111),"000")&amp;"_"&amp;SUBSTITUTE(W111," ","-")&amp;"_"&amp;TEXT(G111,"0")&amp;".jpg")</f>
        <v>Ch4a_095_Medium_715.jpg</v>
      </c>
    </row>
    <row r="112" spans="2:31" ht="12.75" customHeight="1" x14ac:dyDescent="0.25">
      <c r="B112" s="1"/>
      <c r="C112" s="1"/>
      <c r="D112" s="6" t="s">
        <v>15</v>
      </c>
      <c r="E112" s="9">
        <v>1.0034000000000001</v>
      </c>
      <c r="F112" s="9">
        <v>32.200806895372999</v>
      </c>
      <c r="G112" s="11">
        <v>320.91695131924502</v>
      </c>
      <c r="H112" s="11"/>
      <c r="I112" s="11"/>
      <c r="J112" s="11"/>
      <c r="K112" s="11"/>
      <c r="L112" s="11"/>
      <c r="W112" s="12" t="str">
        <f>IF(NOT(ISNUMBER(G112)),"",IF(G112&lt;Bands!$B$4,"Low",IF(G112&lt;Bands!$B$5,"Medium",IF(G112&lt;Bands!$B$6,"High","Very high"))))</f>
        <v>Low</v>
      </c>
      <c r="AA112" s="12" t="str">
        <f>IF(W112="","",IFERROR(INDEX(Bands!$D$3:$D$6,MATCH(W112,Bands!$A$3:$A$6,0)),""))</f>
        <v>Pale yellow to light golden, even colour, no brown spots</v>
      </c>
      <c r="AB112" s="12" t="str">
        <f>IF(W112="","",IFERROR(INDEX(Bands!$J$3:$J$6,MATCH(W112,Bands!$A$3:$A$6,0)),""))</f>
        <v>Not deep golden-brown or reddish-brown (those match higher values). Avoid black or burnt chips.</v>
      </c>
      <c r="AE112" s="12" t="str">
        <f>IF(W112="","","Ch4a_"&amp;TEXT(COUNT($G$2:G112),"000")&amp;"_"&amp;SUBSTITUTE(W112," ","-")&amp;"_"&amp;TEXT(G112,"0")&amp;".jpg")</f>
        <v>Ch4a_096_Low_321.jpg</v>
      </c>
    </row>
    <row r="113" spans="2:31" ht="12.75" customHeight="1" x14ac:dyDescent="0.25">
      <c r="E113" s="9"/>
      <c r="F113" s="9"/>
      <c r="G113" s="11"/>
      <c r="H113" s="11"/>
      <c r="I113" s="11"/>
      <c r="J113" s="11"/>
      <c r="K113" s="11"/>
      <c r="L113" s="11"/>
    </row>
    <row r="114" spans="2:31" ht="12.75" customHeight="1" x14ac:dyDescent="0.25">
      <c r="B114" s="1" t="s">
        <v>84</v>
      </c>
      <c r="C114" s="2" t="s">
        <v>88</v>
      </c>
      <c r="D114" s="6" t="s">
        <v>10</v>
      </c>
      <c r="E114" s="9">
        <v>1.0045999999999999</v>
      </c>
      <c r="F114" s="9">
        <v>157.568188028132</v>
      </c>
      <c r="G114" s="11">
        <v>1568.4669323923199</v>
      </c>
      <c r="H114" s="11"/>
      <c r="I114" s="11">
        <v>41.7</v>
      </c>
      <c r="J114" s="11">
        <v>5.48</v>
      </c>
      <c r="K114" s="11">
        <v>21.73</v>
      </c>
      <c r="L114" s="11"/>
      <c r="W114" s="12" t="str">
        <f>IF(NOT(ISNUMBER(G114)),"",IF(G114&lt;Bands!$B$4,"Low",IF(G114&lt;Bands!$B$5,"Medium",IF(G114&lt;Bands!$B$6,"High","Very high"))))</f>
        <v>High</v>
      </c>
      <c r="Y114" s="12" t="str">
        <f>IF(NOT(ISNUMBER(J114)),"",IF(J114&lt;Bands!$B$18,"Light",IF(J114&lt;Bands!$B$19,"Medium","Dark")))</f>
        <v>Dark</v>
      </c>
      <c r="AA114" s="12" t="str">
        <f>IF(W114="","",IFERROR(INDEX(Bands!$D$3:$D$6,MATCH(W114,Bands!$A$3:$A$6,0)),""))</f>
        <v>Golden-brown with a reddish tint, brown edges, somewhat uneven</v>
      </c>
      <c r="AB114" s="12" t="str">
        <f>IF(W114="","",IFERROR(INDEX(Bands!$J$3:$J$6,MATCH(W114,Bands!$A$3:$A$6,0)),""))</f>
        <v>Not pale yellow, which would match a low value. Not black or burnt, since very dark chips can have lower acrylamide.</v>
      </c>
      <c r="AE114" s="12" t="str">
        <f>IF(W114="","","Ch4a_"&amp;TEXT(COUNT($G$2:G114),"000")&amp;"_"&amp;SUBSTITUTE(W114," ","-")&amp;"_"&amp;TEXT(G114,"0")&amp;".jpg")</f>
        <v>Ch4a_097_High_1568.jpg</v>
      </c>
    </row>
    <row r="115" spans="2:31" ht="12.75" customHeight="1" x14ac:dyDescent="0.25">
      <c r="B115" s="1"/>
      <c r="C115" s="1"/>
      <c r="D115" s="6" t="s">
        <v>11</v>
      </c>
      <c r="E115" s="9">
        <v>1.0065</v>
      </c>
      <c r="F115" s="9">
        <v>90.119493546588501</v>
      </c>
      <c r="G115" s="11">
        <v>895.37499797902103</v>
      </c>
      <c r="H115" s="11"/>
      <c r="I115" s="11">
        <v>28.75</v>
      </c>
      <c r="J115" s="11">
        <v>4.7</v>
      </c>
      <c r="K115" s="11">
        <v>16.920000000000002</v>
      </c>
      <c r="L115" s="11"/>
      <c r="W115" s="12" t="str">
        <f>IF(NOT(ISNUMBER(G115)),"",IF(G115&lt;Bands!$B$4,"Low",IF(G115&lt;Bands!$B$5,"Medium",IF(G115&lt;Bands!$B$6,"High","Very high"))))</f>
        <v>Medium</v>
      </c>
      <c r="Y115" s="12" t="str">
        <f>IF(NOT(ISNUMBER(J115)),"",IF(J115&lt;Bands!$B$18,"Light",IF(J115&lt;Bands!$B$19,"Medium","Dark")))</f>
        <v>Medium</v>
      </c>
      <c r="AA115" s="12" t="str">
        <f>IF(W115="","",IFERROR(INDEX(Bands!$D$3:$D$6,MATCH(W115,Bands!$A$3:$A$6,0)),""))</f>
        <v>Golden yellow with light brown at some edges or small spots</v>
      </c>
      <c r="AB115" s="12" t="str">
        <f>IF(W115="","",IFERROR(INDEX(Bands!$J$3:$J$6,MATCH(W115,Bands!$A$3:$A$6,0)),""))</f>
        <v>Not pale yellow (matches a low value) and not deep reddish-brown (matches a high value). Avoid black or burnt chips.</v>
      </c>
      <c r="AE115" s="12" t="str">
        <f>IF(W115="","","Ch4a_"&amp;TEXT(COUNT($G$2:G115),"000")&amp;"_"&amp;SUBSTITUTE(W115," ","-")&amp;"_"&amp;TEXT(G115,"0")&amp;".jpg")</f>
        <v>Ch4a_098_Medium_895.jpg</v>
      </c>
    </row>
    <row r="116" spans="2:31" ht="12.75" customHeight="1" x14ac:dyDescent="0.25">
      <c r="B116" s="1"/>
      <c r="C116" s="1"/>
      <c r="D116" s="6" t="s">
        <v>12</v>
      </c>
      <c r="E116" s="9">
        <v>1.0048999999999999</v>
      </c>
      <c r="F116" s="9">
        <v>60.936069627955597</v>
      </c>
      <c r="G116" s="11">
        <v>606.38938827699894</v>
      </c>
      <c r="H116" s="11"/>
      <c r="I116" s="11"/>
      <c r="J116" s="11"/>
      <c r="K116" s="11"/>
      <c r="L116" s="11"/>
      <c r="W116" s="12" t="str">
        <f>IF(NOT(ISNUMBER(G116)),"",IF(G116&lt;Bands!$B$4,"Low",IF(G116&lt;Bands!$B$5,"Medium",IF(G116&lt;Bands!$B$6,"High","Very high"))))</f>
        <v>Medium</v>
      </c>
      <c r="AA116" s="12" t="str">
        <f>IF(W116="","",IFERROR(INDEX(Bands!$D$3:$D$6,MATCH(W116,Bands!$A$3:$A$6,0)),""))</f>
        <v>Golden yellow with light brown at some edges or small spots</v>
      </c>
      <c r="AB116" s="12" t="str">
        <f>IF(W116="","",IFERROR(INDEX(Bands!$J$3:$J$6,MATCH(W116,Bands!$A$3:$A$6,0)),""))</f>
        <v>Not pale yellow (matches a low value) and not deep reddish-brown (matches a high value). Avoid black or burnt chips.</v>
      </c>
      <c r="AE116" s="12" t="str">
        <f>IF(W116="","","Ch4a_"&amp;TEXT(COUNT($G$2:G116),"000")&amp;"_"&amp;SUBSTITUTE(W116," ","-")&amp;"_"&amp;TEXT(G116,"0")&amp;".jpg")</f>
        <v>Ch4a_099_Medium_606.jpg</v>
      </c>
    </row>
    <row r="117" spans="2:31" ht="12.75" customHeight="1" x14ac:dyDescent="0.25">
      <c r="B117" s="1"/>
      <c r="C117" s="1"/>
      <c r="D117" s="6" t="s">
        <v>13</v>
      </c>
      <c r="E117" s="9">
        <v>1</v>
      </c>
      <c r="F117" s="9">
        <v>208.30313188435599</v>
      </c>
      <c r="G117" s="11">
        <v>2083.0313188435598</v>
      </c>
      <c r="H117" s="11"/>
      <c r="I117" s="11">
        <v>35.14</v>
      </c>
      <c r="J117" s="11">
        <v>8.1199999999999992</v>
      </c>
      <c r="K117" s="11">
        <v>22.59</v>
      </c>
      <c r="L117" s="11"/>
      <c r="W117" s="12" t="str">
        <f>IF(NOT(ISNUMBER(G117)),"",IF(G117&lt;Bands!$B$4,"Low",IF(G117&lt;Bands!$B$5,"Medium",IF(G117&lt;Bands!$B$6,"High","Very high"))))</f>
        <v>Very high</v>
      </c>
      <c r="Y117" s="12" t="str">
        <f>IF(NOT(ISNUMBER(J117)),"",IF(J117&lt;Bands!$B$18,"Light",IF(J117&lt;Bands!$B$19,"Medium","Dark")))</f>
        <v>Dark</v>
      </c>
      <c r="AA117" s="12" t="str">
        <f>IF(W117="","",IFERROR(INDEX(Bands!$D$3:$D$6,MATCH(W117,Bands!$A$3:$A$6,0)),""))</f>
        <v>Deep golden-brown to medium brown with a reddish tone; edges darkest, centre golden or light brown</v>
      </c>
      <c r="AB117" s="12" t="str">
        <f>IF(W117="","",IFERROR(INDEX(Bands!$J$3:$J$6,MATCH(W117,Bands!$A$3:$A$6,0)),""))</f>
        <v>Not pale yellow, which would match a low value, or black and burnt, since very dark chips can have lower acrylamide.</v>
      </c>
      <c r="AE117" s="12" t="str">
        <f>IF(W117="","","Ch4a_"&amp;TEXT(COUNT($G$2:G117),"000")&amp;"_"&amp;SUBSTITUTE(W117," ","-")&amp;"_"&amp;TEXT(G117,"0")&amp;".jpg")</f>
        <v>Ch4a_100_Very-high_2083.jpg</v>
      </c>
    </row>
    <row r="118" spans="2:31" ht="12.75" customHeight="1" x14ac:dyDescent="0.25">
      <c r="B118" s="1"/>
      <c r="C118" s="1"/>
      <c r="D118" s="6" t="s">
        <v>14</v>
      </c>
      <c r="E118" s="9">
        <v>1.0045999999999999</v>
      </c>
      <c r="F118" s="9">
        <v>24.5007461648154</v>
      </c>
      <c r="G118" s="11">
        <v>243.88558794361299</v>
      </c>
      <c r="H118" s="11"/>
      <c r="I118" s="11"/>
      <c r="J118" s="11"/>
      <c r="K118" s="11"/>
      <c r="L118" s="11"/>
      <c r="W118" s="12" t="str">
        <f>IF(NOT(ISNUMBER(G118)),"",IF(G118&lt;Bands!$B$4,"Low",IF(G118&lt;Bands!$B$5,"Medium",IF(G118&lt;Bands!$B$6,"High","Very high"))))</f>
        <v>Low</v>
      </c>
      <c r="AA118" s="12" t="str">
        <f>IF(W118="","",IFERROR(INDEX(Bands!$D$3:$D$6,MATCH(W118,Bands!$A$3:$A$6,0)),""))</f>
        <v>Pale yellow to light golden, even colour, no brown spots</v>
      </c>
      <c r="AB118" s="12" t="str">
        <f>IF(W118="","",IFERROR(INDEX(Bands!$J$3:$J$6,MATCH(W118,Bands!$A$3:$A$6,0)),""))</f>
        <v>Not deep golden-brown or reddish-brown (those match higher values). Avoid black or burnt chips.</v>
      </c>
      <c r="AE118" s="12" t="str">
        <f>IF(W118="","","Ch4a_"&amp;TEXT(COUNT($G$2:G118),"000")&amp;"_"&amp;SUBSTITUTE(W118," ","-")&amp;"_"&amp;TEXT(G118,"0")&amp;".jpg")</f>
        <v>Ch4a_101_Low_244.jpg</v>
      </c>
    </row>
    <row r="119" spans="2:31" ht="12.75" customHeight="1" x14ac:dyDescent="0.25">
      <c r="B119" s="1"/>
      <c r="C119" s="1"/>
      <c r="D119" s="6" t="s">
        <v>15</v>
      </c>
      <c r="E119" s="9">
        <v>1.0009999999999999</v>
      </c>
      <c r="F119" s="9">
        <v>36.661174956941601</v>
      </c>
      <c r="G119" s="11">
        <v>366.24550406535099</v>
      </c>
      <c r="H119" s="11"/>
      <c r="I119" s="11"/>
      <c r="J119" s="11"/>
      <c r="K119" s="11"/>
      <c r="L119" s="11"/>
      <c r="W119" s="12" t="str">
        <f>IF(NOT(ISNUMBER(G119)),"",IF(G119&lt;Bands!$B$4,"Low",IF(G119&lt;Bands!$B$5,"Medium",IF(G119&lt;Bands!$B$6,"High","Very high"))))</f>
        <v>Low</v>
      </c>
      <c r="AA119" s="12" t="str">
        <f>IF(W119="","",IFERROR(INDEX(Bands!$D$3:$D$6,MATCH(W119,Bands!$A$3:$A$6,0)),""))</f>
        <v>Pale yellow to light golden, even colour, no brown spots</v>
      </c>
      <c r="AB119" s="12" t="str">
        <f>IF(W119="","",IFERROR(INDEX(Bands!$J$3:$J$6,MATCH(W119,Bands!$A$3:$A$6,0)),""))</f>
        <v>Not deep golden-brown or reddish-brown (those match higher values). Avoid black or burnt chips.</v>
      </c>
      <c r="AE119" s="12" t="str">
        <f>IF(W119="","","Ch4a_"&amp;TEXT(COUNT($G$2:G119),"000")&amp;"_"&amp;SUBSTITUTE(W119," ","-")&amp;"_"&amp;TEXT(G119,"0")&amp;".jpg")</f>
        <v>Ch4a_102_Low_366.jpg</v>
      </c>
    </row>
    <row r="120" spans="2:31" ht="12.75" customHeight="1" x14ac:dyDescent="0.25">
      <c r="B120" s="1"/>
      <c r="E120" s="9"/>
      <c r="F120" s="9"/>
      <c r="G120" s="11"/>
      <c r="H120" s="11"/>
      <c r="I120" s="11"/>
      <c r="J120" s="11"/>
      <c r="K120" s="11"/>
      <c r="L120" s="11"/>
    </row>
    <row r="121" spans="2:31" ht="12.75" customHeight="1" x14ac:dyDescent="0.25">
      <c r="B121" s="1"/>
      <c r="C121" s="2" t="s">
        <v>82</v>
      </c>
      <c r="D121" s="6" t="s">
        <v>10</v>
      </c>
      <c r="E121" s="9">
        <v>1.0025999999999999</v>
      </c>
      <c r="F121" s="9">
        <v>58.446093178986203</v>
      </c>
      <c r="G121" s="11">
        <v>582.94527407726105</v>
      </c>
      <c r="H121" s="11"/>
      <c r="I121" s="11"/>
      <c r="J121" s="11"/>
      <c r="K121" s="11"/>
      <c r="L121" s="11"/>
      <c r="W121" s="12" t="str">
        <f>IF(NOT(ISNUMBER(G121)),"",IF(G121&lt;Bands!$B$4,"Low",IF(G121&lt;Bands!$B$5,"Medium",IF(G121&lt;Bands!$B$6,"High","Very high"))))</f>
        <v>Medium</v>
      </c>
      <c r="AA121" s="12" t="str">
        <f>IF(W121="","",IFERROR(INDEX(Bands!$D$3:$D$6,MATCH(W121,Bands!$A$3:$A$6,0)),""))</f>
        <v>Golden yellow with light brown at some edges or small spots</v>
      </c>
      <c r="AB121" s="12" t="str">
        <f>IF(W121="","",IFERROR(INDEX(Bands!$J$3:$J$6,MATCH(W121,Bands!$A$3:$A$6,0)),""))</f>
        <v>Not pale yellow (matches a low value) and not deep reddish-brown (matches a high value). Avoid black or burnt chips.</v>
      </c>
      <c r="AE121" s="12" t="str">
        <f>IF(W121="","","Ch4a_"&amp;TEXT(COUNT($G$2:G121),"000")&amp;"_"&amp;SUBSTITUTE(W121," ","-")&amp;"_"&amp;TEXT(G121,"0")&amp;".jpg")</f>
        <v>Ch4a_103_Medium_583.jpg</v>
      </c>
    </row>
    <row r="122" spans="2:31" ht="12.75" customHeight="1" x14ac:dyDescent="0.25">
      <c r="B122" s="1"/>
      <c r="C122" s="1"/>
      <c r="D122" s="6" t="s">
        <v>11</v>
      </c>
      <c r="E122" s="9">
        <v>1.0004999999999999</v>
      </c>
      <c r="F122" s="9">
        <v>242.49972236991599</v>
      </c>
      <c r="G122" s="11">
        <v>2423.78533103364</v>
      </c>
      <c r="H122" s="11"/>
      <c r="I122" s="11">
        <v>24.65</v>
      </c>
      <c r="J122" s="11">
        <v>7.53</v>
      </c>
      <c r="K122" s="11">
        <v>15.3</v>
      </c>
      <c r="L122" s="11"/>
      <c r="W122" s="12" t="str">
        <f>IF(NOT(ISNUMBER(G122)),"",IF(G122&lt;Bands!$B$4,"Low",IF(G122&lt;Bands!$B$5,"Medium",IF(G122&lt;Bands!$B$6,"High","Very high"))))</f>
        <v>Very high</v>
      </c>
      <c r="Y122" s="12" t="str">
        <f>IF(NOT(ISNUMBER(J122)),"",IF(J122&lt;Bands!$B$18,"Light",IF(J122&lt;Bands!$B$19,"Medium","Dark")))</f>
        <v>Dark</v>
      </c>
      <c r="AA122" s="12" t="str">
        <f>IF(W122="","",IFERROR(INDEX(Bands!$D$3:$D$6,MATCH(W122,Bands!$A$3:$A$6,0)),""))</f>
        <v>Deep golden-brown to medium brown with a reddish tone; edges darkest, centre golden or light brown</v>
      </c>
      <c r="AB122" s="12" t="str">
        <f>IF(W122="","",IFERROR(INDEX(Bands!$J$3:$J$6,MATCH(W122,Bands!$A$3:$A$6,0)),""))</f>
        <v>Not pale yellow, which would match a low value, or black and burnt, since very dark chips can have lower acrylamide.</v>
      </c>
      <c r="AE122" s="12" t="str">
        <f>IF(W122="","","Ch4a_"&amp;TEXT(COUNT($G$2:G122),"000")&amp;"_"&amp;SUBSTITUTE(W122," ","-")&amp;"_"&amp;TEXT(G122,"0")&amp;".jpg")</f>
        <v>Ch4a_104_Very-high_2424.jpg</v>
      </c>
    </row>
    <row r="123" spans="2:31" ht="12.75" customHeight="1" x14ac:dyDescent="0.25">
      <c r="B123" s="1"/>
      <c r="C123" s="1"/>
      <c r="D123" s="6" t="s">
        <v>12</v>
      </c>
      <c r="E123" s="9">
        <v>1.0067999999999999</v>
      </c>
      <c r="F123" s="9">
        <v>234.505388944304</v>
      </c>
      <c r="G123" s="11">
        <v>2329.2152259068698</v>
      </c>
      <c r="H123" s="11"/>
      <c r="I123" s="11"/>
      <c r="J123" s="11"/>
      <c r="K123" s="11"/>
      <c r="L123" s="11"/>
      <c r="W123" s="12" t="str">
        <f>IF(NOT(ISNUMBER(G123)),"",IF(G123&lt;Bands!$B$4,"Low",IF(G123&lt;Bands!$B$5,"Medium",IF(G123&lt;Bands!$B$6,"High","Very high"))))</f>
        <v>Very high</v>
      </c>
      <c r="AA123" s="12" t="str">
        <f>IF(W123="","",IFERROR(INDEX(Bands!$D$3:$D$6,MATCH(W123,Bands!$A$3:$A$6,0)),""))</f>
        <v>Deep golden-brown to medium brown with a reddish tone; edges darkest, centre golden or light brown</v>
      </c>
      <c r="AB123" s="12" t="str">
        <f>IF(W123="","",IFERROR(INDEX(Bands!$J$3:$J$6,MATCH(W123,Bands!$A$3:$A$6,0)),""))</f>
        <v>Not pale yellow, which would match a low value, or black and burnt, since very dark chips can have lower acrylamide.</v>
      </c>
      <c r="AE123" s="12" t="str">
        <f>IF(W123="","","Ch4a_"&amp;TEXT(COUNT($G$2:G123),"000")&amp;"_"&amp;SUBSTITUTE(W123," ","-")&amp;"_"&amp;TEXT(G123,"0")&amp;".jpg")</f>
        <v>Ch4a_105_Very-high_2329.jpg</v>
      </c>
    </row>
    <row r="124" spans="2:31" ht="12.75" customHeight="1" x14ac:dyDescent="0.25">
      <c r="B124" s="1"/>
      <c r="C124" s="1"/>
      <c r="D124" s="6" t="s">
        <v>13</v>
      </c>
      <c r="E124" s="9">
        <v>1.0069999999999999</v>
      </c>
      <c r="F124" s="9">
        <v>267.54644380122801</v>
      </c>
      <c r="G124" s="11">
        <v>2656.8663733984899</v>
      </c>
      <c r="H124" s="11"/>
      <c r="I124" s="11">
        <v>35.020000000000003</v>
      </c>
      <c r="J124" s="11">
        <v>7.88</v>
      </c>
      <c r="K124" s="11">
        <v>22.88</v>
      </c>
      <c r="L124" s="11"/>
      <c r="W124" s="12" t="str">
        <f>IF(NOT(ISNUMBER(G124)),"",IF(G124&lt;Bands!$B$4,"Low",IF(G124&lt;Bands!$B$5,"Medium",IF(G124&lt;Bands!$B$6,"High","Very high"))))</f>
        <v>Very high</v>
      </c>
      <c r="Y124" s="12" t="str">
        <f>IF(NOT(ISNUMBER(J124)),"",IF(J124&lt;Bands!$B$18,"Light",IF(J124&lt;Bands!$B$19,"Medium","Dark")))</f>
        <v>Dark</v>
      </c>
      <c r="AA124" s="12" t="str">
        <f>IF(W124="","",IFERROR(INDEX(Bands!$D$3:$D$6,MATCH(W124,Bands!$A$3:$A$6,0)),""))</f>
        <v>Deep golden-brown to medium brown with a reddish tone; edges darkest, centre golden or light brown</v>
      </c>
      <c r="AB124" s="12" t="str">
        <f>IF(W124="","",IFERROR(INDEX(Bands!$J$3:$J$6,MATCH(W124,Bands!$A$3:$A$6,0)),""))</f>
        <v>Not pale yellow, which would match a low value, or black and burnt, since very dark chips can have lower acrylamide.</v>
      </c>
      <c r="AE124" s="12" t="str">
        <f>IF(W124="","","Ch4a_"&amp;TEXT(COUNT($G$2:G124),"000")&amp;"_"&amp;SUBSTITUTE(W124," ","-")&amp;"_"&amp;TEXT(G124,"0")&amp;".jpg")</f>
        <v>Ch4a_106_Very-high_2657.jpg</v>
      </c>
    </row>
    <row r="125" spans="2:31" ht="12.75" customHeight="1" x14ac:dyDescent="0.25">
      <c r="B125" s="1"/>
      <c r="C125" s="1"/>
      <c r="D125" s="6" t="s">
        <v>14</v>
      </c>
      <c r="E125" s="9">
        <v>1.0067999999999999</v>
      </c>
      <c r="F125" s="9">
        <v>45.483898338030201</v>
      </c>
      <c r="G125" s="11">
        <v>451.76696799791603</v>
      </c>
      <c r="H125" s="11"/>
      <c r="I125" s="11"/>
      <c r="J125" s="11"/>
      <c r="K125" s="11"/>
      <c r="L125" s="11"/>
      <c r="W125" s="12" t="str">
        <f>IF(NOT(ISNUMBER(G125)),"",IF(G125&lt;Bands!$B$4,"Low",IF(G125&lt;Bands!$B$5,"Medium",IF(G125&lt;Bands!$B$6,"High","Very high"))))</f>
        <v>Low</v>
      </c>
      <c r="AA125" s="12" t="str">
        <f>IF(W125="","",IFERROR(INDEX(Bands!$D$3:$D$6,MATCH(W125,Bands!$A$3:$A$6,0)),""))</f>
        <v>Pale yellow to light golden, even colour, no brown spots</v>
      </c>
      <c r="AB125" s="12" t="str">
        <f>IF(W125="","",IFERROR(INDEX(Bands!$J$3:$J$6,MATCH(W125,Bands!$A$3:$A$6,0)),""))</f>
        <v>Not deep golden-brown or reddish-brown (those match higher values). Avoid black or burnt chips.</v>
      </c>
      <c r="AE125" s="12" t="str">
        <f>IF(W125="","","Ch4a_"&amp;TEXT(COUNT($G$2:G125),"000")&amp;"_"&amp;SUBSTITUTE(W125," ","-")&amp;"_"&amp;TEXT(G125,"0")&amp;".jpg")</f>
        <v>Ch4a_107_Low_452.jpg</v>
      </c>
    </row>
    <row r="126" spans="2:31" ht="12.75" customHeight="1" x14ac:dyDescent="0.25">
      <c r="B126" s="1"/>
      <c r="C126" s="1"/>
      <c r="D126" s="6" t="s">
        <v>15</v>
      </c>
      <c r="E126" s="9">
        <v>1.0005999999999999</v>
      </c>
      <c r="F126" s="9">
        <v>59.301703589245903</v>
      </c>
      <c r="G126" s="11">
        <v>592.66143902904196</v>
      </c>
      <c r="H126" s="11"/>
      <c r="I126" s="11">
        <v>43.25</v>
      </c>
      <c r="J126" s="11">
        <v>4.29</v>
      </c>
      <c r="K126" s="11">
        <v>20.87</v>
      </c>
      <c r="L126" s="11"/>
      <c r="W126" s="12" t="str">
        <f>IF(NOT(ISNUMBER(G126)),"",IF(G126&lt;Bands!$B$4,"Low",IF(G126&lt;Bands!$B$5,"Medium",IF(G126&lt;Bands!$B$6,"High","Very high"))))</f>
        <v>Medium</v>
      </c>
      <c r="Y126" s="12" t="str">
        <f>IF(NOT(ISNUMBER(J126)),"",IF(J126&lt;Bands!$B$18,"Light",IF(J126&lt;Bands!$B$19,"Medium","Dark")))</f>
        <v>Medium</v>
      </c>
      <c r="AA126" s="12" t="str">
        <f>IF(W126="","",IFERROR(INDEX(Bands!$D$3:$D$6,MATCH(W126,Bands!$A$3:$A$6,0)),""))</f>
        <v>Golden yellow with light brown at some edges or small spots</v>
      </c>
      <c r="AB126" s="12" t="str">
        <f>IF(W126="","",IFERROR(INDEX(Bands!$J$3:$J$6,MATCH(W126,Bands!$A$3:$A$6,0)),""))</f>
        <v>Not pale yellow (matches a low value) and not deep reddish-brown (matches a high value). Avoid black or burnt chips.</v>
      </c>
      <c r="AE126" s="12" t="str">
        <f>IF(W126="","","Ch4a_"&amp;TEXT(COUNT($G$2:G126),"000")&amp;"_"&amp;SUBSTITUTE(W126," ","-")&amp;"_"&amp;TEXT(G126,"0")&amp;".jpg")</f>
        <v>Ch4a_108_Medium_593.jpg</v>
      </c>
    </row>
    <row r="127" spans="2:31" ht="12.75" customHeight="1" x14ac:dyDescent="0.25">
      <c r="E127" s="9"/>
      <c r="F127" s="9"/>
      <c r="G127" s="11"/>
      <c r="H127" s="11"/>
      <c r="I127" s="11"/>
      <c r="J127" s="11"/>
      <c r="K127" s="11"/>
      <c r="L127" s="11"/>
    </row>
    <row r="128" spans="2:31" ht="12.75" customHeight="1" x14ac:dyDescent="0.25">
      <c r="B128" s="1" t="s">
        <v>86</v>
      </c>
      <c r="C128" s="2" t="s">
        <v>88</v>
      </c>
      <c r="D128" s="6" t="s">
        <v>10</v>
      </c>
      <c r="E128" s="9">
        <v>1.0074000000000001</v>
      </c>
      <c r="F128" s="9">
        <v>127.89705764414001</v>
      </c>
      <c r="G128" s="11">
        <v>1269.5757161419499</v>
      </c>
      <c r="H128" s="11"/>
      <c r="I128" s="11"/>
      <c r="J128" s="11"/>
      <c r="K128" s="11"/>
      <c r="L128" s="11"/>
      <c r="W128" s="12" t="str">
        <f>IF(NOT(ISNUMBER(G128)),"",IF(G128&lt;Bands!$B$4,"Low",IF(G128&lt;Bands!$B$5,"Medium",IF(G128&lt;Bands!$B$6,"High","Very high"))))</f>
        <v>High</v>
      </c>
      <c r="AA128" s="12" t="str">
        <f>IF(W128="","",IFERROR(INDEX(Bands!$D$3:$D$6,MATCH(W128,Bands!$A$3:$A$6,0)),""))</f>
        <v>Golden-brown with a reddish tint, brown edges, somewhat uneven</v>
      </c>
      <c r="AB128" s="12" t="str">
        <f>IF(W128="","",IFERROR(INDEX(Bands!$J$3:$J$6,MATCH(W128,Bands!$A$3:$A$6,0)),""))</f>
        <v>Not pale yellow, which would match a low value. Not black or burnt, since very dark chips can have lower acrylamide.</v>
      </c>
      <c r="AE128" s="12" t="str">
        <f>IF(W128="","","Ch4a_"&amp;TEXT(COUNT($G$2:G128),"000")&amp;"_"&amp;SUBSTITUTE(W128," ","-")&amp;"_"&amp;TEXT(G128,"0")&amp;".jpg")</f>
        <v>Ch4a_109_High_1270.jpg</v>
      </c>
    </row>
    <row r="129" spans="2:31" ht="12.75" customHeight="1" x14ac:dyDescent="0.25">
      <c r="B129" s="1"/>
      <c r="C129" s="1"/>
      <c r="D129" s="6" t="s">
        <v>11</v>
      </c>
      <c r="E129" s="9">
        <v>1.0054000000000001</v>
      </c>
      <c r="F129" s="9">
        <v>36.890839294761498</v>
      </c>
      <c r="G129" s="11">
        <v>366.92698721664499</v>
      </c>
      <c r="H129" s="11"/>
      <c r="I129" s="11"/>
      <c r="J129" s="11"/>
      <c r="K129" s="11"/>
      <c r="L129" s="11"/>
      <c r="W129" s="12" t="str">
        <f>IF(NOT(ISNUMBER(G129)),"",IF(G129&lt;Bands!$B$4,"Low",IF(G129&lt;Bands!$B$5,"Medium",IF(G129&lt;Bands!$B$6,"High","Very high"))))</f>
        <v>Low</v>
      </c>
      <c r="AA129" s="12" t="str">
        <f>IF(W129="","",IFERROR(INDEX(Bands!$D$3:$D$6,MATCH(W129,Bands!$A$3:$A$6,0)),""))</f>
        <v>Pale yellow to light golden, even colour, no brown spots</v>
      </c>
      <c r="AB129" s="12" t="str">
        <f>IF(W129="","",IFERROR(INDEX(Bands!$J$3:$J$6,MATCH(W129,Bands!$A$3:$A$6,0)),""))</f>
        <v>Not deep golden-brown or reddish-brown (those match higher values). Avoid black or burnt chips.</v>
      </c>
      <c r="AE129" s="12" t="str">
        <f>IF(W129="","","Ch4a_"&amp;TEXT(COUNT($G$2:G129),"000")&amp;"_"&amp;SUBSTITUTE(W129," ","-")&amp;"_"&amp;TEXT(G129,"0")&amp;".jpg")</f>
        <v>Ch4a_110_Low_367.jpg</v>
      </c>
    </row>
    <row r="130" spans="2:31" ht="12.75" customHeight="1" x14ac:dyDescent="0.25">
      <c r="B130" s="1"/>
      <c r="C130" s="1"/>
      <c r="D130" s="6" t="s">
        <v>12</v>
      </c>
      <c r="E130" s="9">
        <v>1.008</v>
      </c>
      <c r="F130" s="9">
        <v>48.058671356579602</v>
      </c>
      <c r="G130" s="11">
        <v>476.772533299401</v>
      </c>
      <c r="H130" s="11"/>
      <c r="I130" s="11"/>
      <c r="J130" s="11"/>
      <c r="K130" s="11"/>
      <c r="L130" s="11"/>
      <c r="W130" s="12" t="str">
        <f>IF(NOT(ISNUMBER(G130)),"",IF(G130&lt;Bands!$B$4,"Low",IF(G130&lt;Bands!$B$5,"Medium",IF(G130&lt;Bands!$B$6,"High","Very high"))))</f>
        <v>Low</v>
      </c>
      <c r="AA130" s="12" t="str">
        <f>IF(W130="","",IFERROR(INDEX(Bands!$D$3:$D$6,MATCH(W130,Bands!$A$3:$A$6,0)),""))</f>
        <v>Pale yellow to light golden, even colour, no brown spots</v>
      </c>
      <c r="AB130" s="12" t="str">
        <f>IF(W130="","",IFERROR(INDEX(Bands!$J$3:$J$6,MATCH(W130,Bands!$A$3:$A$6,0)),""))</f>
        <v>Not deep golden-brown or reddish-brown (those match higher values). Avoid black or burnt chips.</v>
      </c>
      <c r="AE130" s="12" t="str">
        <f>IF(W130="","","Ch4a_"&amp;TEXT(COUNT($G$2:G130),"000")&amp;"_"&amp;SUBSTITUTE(W130," ","-")&amp;"_"&amp;TEXT(G130,"0")&amp;".jpg")</f>
        <v>Ch4a_111_Low_477.jpg</v>
      </c>
    </row>
    <row r="131" spans="2:31" ht="12.75" customHeight="1" x14ac:dyDescent="0.25">
      <c r="B131" s="1"/>
      <c r="C131" s="1"/>
      <c r="D131" s="6" t="s">
        <v>13</v>
      </c>
      <c r="E131" s="9">
        <v>1.0054000000000001</v>
      </c>
      <c r="F131" s="9">
        <v>264.51467404597901</v>
      </c>
      <c r="G131" s="11">
        <v>2630.9396662619802</v>
      </c>
      <c r="H131" s="11"/>
      <c r="I131" s="11"/>
      <c r="J131" s="11"/>
      <c r="K131" s="11"/>
      <c r="L131" s="11"/>
      <c r="W131" s="12" t="str">
        <f>IF(NOT(ISNUMBER(G131)),"",IF(G131&lt;Bands!$B$4,"Low",IF(G131&lt;Bands!$B$5,"Medium",IF(G131&lt;Bands!$B$6,"High","Very high"))))</f>
        <v>Very high</v>
      </c>
      <c r="AA131" s="12" t="str">
        <f>IF(W131="","",IFERROR(INDEX(Bands!$D$3:$D$6,MATCH(W131,Bands!$A$3:$A$6,0)),""))</f>
        <v>Deep golden-brown to medium brown with a reddish tone; edges darkest, centre golden or light brown</v>
      </c>
      <c r="AB131" s="12" t="str">
        <f>IF(W131="","",IFERROR(INDEX(Bands!$J$3:$J$6,MATCH(W131,Bands!$A$3:$A$6,0)),""))</f>
        <v>Not pale yellow, which would match a low value, or black and burnt, since very dark chips can have lower acrylamide.</v>
      </c>
      <c r="AE131" s="12" t="str">
        <f>IF(W131="","","Ch4a_"&amp;TEXT(COUNT($G$2:G131),"000")&amp;"_"&amp;SUBSTITUTE(W131," ","-")&amp;"_"&amp;TEXT(G131,"0")&amp;".jpg")</f>
        <v>Ch4a_112_Very-high_2631.jpg</v>
      </c>
    </row>
    <row r="132" spans="2:31" ht="12.75" customHeight="1" x14ac:dyDescent="0.25">
      <c r="B132" s="1"/>
      <c r="C132" s="1"/>
      <c r="D132" s="6" t="s">
        <v>14</v>
      </c>
      <c r="E132" s="9">
        <v>1.0001</v>
      </c>
      <c r="F132" s="9">
        <v>32.485079637404198</v>
      </c>
      <c r="G132" s="11">
        <v>324.81831454258798</v>
      </c>
      <c r="H132" s="11"/>
      <c r="I132" s="11"/>
      <c r="J132" s="11"/>
      <c r="K132" s="11"/>
      <c r="L132" s="11"/>
      <c r="W132" s="12" t="str">
        <f>IF(NOT(ISNUMBER(G132)),"",IF(G132&lt;Bands!$B$4,"Low",IF(G132&lt;Bands!$B$5,"Medium",IF(G132&lt;Bands!$B$6,"High","Very high"))))</f>
        <v>Low</v>
      </c>
      <c r="AA132" s="12" t="str">
        <f>IF(W132="","",IFERROR(INDEX(Bands!$D$3:$D$6,MATCH(W132,Bands!$A$3:$A$6,0)),""))</f>
        <v>Pale yellow to light golden, even colour, no brown spots</v>
      </c>
      <c r="AB132" s="12" t="str">
        <f>IF(W132="","",IFERROR(INDEX(Bands!$J$3:$J$6,MATCH(W132,Bands!$A$3:$A$6,0)),""))</f>
        <v>Not deep golden-brown or reddish-brown (those match higher values). Avoid black or burnt chips.</v>
      </c>
      <c r="AE132" s="12" t="str">
        <f>IF(W132="","","Ch4a_"&amp;TEXT(COUNT($G$2:G132),"000")&amp;"_"&amp;SUBSTITUTE(W132," ","-")&amp;"_"&amp;TEXT(G132,"0")&amp;".jpg")</f>
        <v>Ch4a_113_Low_325.jpg</v>
      </c>
    </row>
    <row r="133" spans="2:31" ht="12.75" customHeight="1" x14ac:dyDescent="0.25">
      <c r="B133" s="1"/>
      <c r="C133" s="1"/>
      <c r="D133" s="6" t="s">
        <v>15</v>
      </c>
      <c r="E133" s="9">
        <v>1.0073000000000001</v>
      </c>
      <c r="F133" s="9">
        <v>83.348824625427298</v>
      </c>
      <c r="G133" s="11">
        <v>827.44787675396901</v>
      </c>
      <c r="H133" s="11"/>
      <c r="I133" s="11"/>
      <c r="J133" s="11"/>
      <c r="K133" s="11"/>
      <c r="L133" s="11"/>
      <c r="W133" s="12" t="str">
        <f>IF(NOT(ISNUMBER(G133)),"",IF(G133&lt;Bands!$B$4,"Low",IF(G133&lt;Bands!$B$5,"Medium",IF(G133&lt;Bands!$B$6,"High","Very high"))))</f>
        <v>Medium</v>
      </c>
      <c r="AA133" s="12" t="str">
        <f>IF(W133="","",IFERROR(INDEX(Bands!$D$3:$D$6,MATCH(W133,Bands!$A$3:$A$6,0)),""))</f>
        <v>Golden yellow with light brown at some edges or small spots</v>
      </c>
      <c r="AB133" s="12" t="str">
        <f>IF(W133="","",IFERROR(INDEX(Bands!$J$3:$J$6,MATCH(W133,Bands!$A$3:$A$6,0)),""))</f>
        <v>Not pale yellow (matches a low value) and not deep reddish-brown (matches a high value). Avoid black or burnt chips.</v>
      </c>
      <c r="AE133" s="12" t="str">
        <f>IF(W133="","","Ch4a_"&amp;TEXT(COUNT($G$2:G133),"000")&amp;"_"&amp;SUBSTITUTE(W133," ","-")&amp;"_"&amp;TEXT(G133,"0")&amp;".jpg")</f>
        <v>Ch4a_114_Medium_827.jpg</v>
      </c>
    </row>
    <row r="134" spans="2:31" ht="12.75" customHeight="1" x14ac:dyDescent="0.25">
      <c r="B134" s="1"/>
      <c r="E134" s="9"/>
      <c r="F134" s="9"/>
      <c r="G134" s="11"/>
      <c r="H134" s="11"/>
      <c r="I134" s="11"/>
      <c r="J134" s="11"/>
      <c r="K134" s="11"/>
      <c r="L134" s="11"/>
    </row>
    <row r="135" spans="2:31" ht="12.75" customHeight="1" x14ac:dyDescent="0.25">
      <c r="B135" s="1"/>
      <c r="C135" s="2" t="s">
        <v>82</v>
      </c>
      <c r="D135" s="6" t="s">
        <v>10</v>
      </c>
      <c r="E135" s="9">
        <v>1.0012000000000001</v>
      </c>
      <c r="F135" s="9">
        <v>80.0197129793345</v>
      </c>
      <c r="G135" s="11">
        <v>799.23804414037704</v>
      </c>
      <c r="H135" s="11"/>
      <c r="I135" s="11"/>
      <c r="J135" s="11"/>
      <c r="K135" s="11"/>
      <c r="L135" s="11"/>
      <c r="W135" s="12" t="str">
        <f>IF(NOT(ISNUMBER(G135)),"",IF(G135&lt;Bands!$B$4,"Low",IF(G135&lt;Bands!$B$5,"Medium",IF(G135&lt;Bands!$B$6,"High","Very high"))))</f>
        <v>Medium</v>
      </c>
      <c r="AA135" s="12" t="str">
        <f>IF(W135="","",IFERROR(INDEX(Bands!$D$3:$D$6,MATCH(W135,Bands!$A$3:$A$6,0)),""))</f>
        <v>Golden yellow with light brown at some edges or small spots</v>
      </c>
      <c r="AB135" s="12" t="str">
        <f>IF(W135="","",IFERROR(INDEX(Bands!$J$3:$J$6,MATCH(W135,Bands!$A$3:$A$6,0)),""))</f>
        <v>Not pale yellow (matches a low value) and not deep reddish-brown (matches a high value). Avoid black or burnt chips.</v>
      </c>
      <c r="AE135" s="12" t="str">
        <f>IF(W135="","","Ch4a_"&amp;TEXT(COUNT($G$2:G135),"000")&amp;"_"&amp;SUBSTITUTE(W135," ","-")&amp;"_"&amp;TEXT(G135,"0")&amp;".jpg")</f>
        <v>Ch4a_115_Medium_799.jpg</v>
      </c>
    </row>
    <row r="136" spans="2:31" ht="12.75" customHeight="1" x14ac:dyDescent="0.25">
      <c r="B136" s="1"/>
      <c r="C136" s="1"/>
      <c r="D136" s="6" t="s">
        <v>11</v>
      </c>
      <c r="E136" s="9">
        <v>1.0037</v>
      </c>
      <c r="F136" s="9">
        <v>65.586179260817403</v>
      </c>
      <c r="G136" s="11">
        <v>653.44404962456304</v>
      </c>
      <c r="H136" s="11"/>
      <c r="I136" s="11"/>
      <c r="J136" s="11"/>
      <c r="K136" s="11"/>
      <c r="L136" s="11"/>
      <c r="W136" s="12" t="str">
        <f>IF(NOT(ISNUMBER(G136)),"",IF(G136&lt;Bands!$B$4,"Low",IF(G136&lt;Bands!$B$5,"Medium",IF(G136&lt;Bands!$B$6,"High","Very high"))))</f>
        <v>Medium</v>
      </c>
      <c r="AA136" s="12" t="str">
        <f>IF(W136="","",IFERROR(INDEX(Bands!$D$3:$D$6,MATCH(W136,Bands!$A$3:$A$6,0)),""))</f>
        <v>Golden yellow with light brown at some edges or small spots</v>
      </c>
      <c r="AB136" s="12" t="str">
        <f>IF(W136="","",IFERROR(INDEX(Bands!$J$3:$J$6,MATCH(W136,Bands!$A$3:$A$6,0)),""))</f>
        <v>Not pale yellow (matches a low value) and not deep reddish-brown (matches a high value). Avoid black or burnt chips.</v>
      </c>
      <c r="AE136" s="12" t="str">
        <f>IF(W136="","","Ch4a_"&amp;TEXT(COUNT($G$2:G136),"000")&amp;"_"&amp;SUBSTITUTE(W136," ","-")&amp;"_"&amp;TEXT(G136,"0")&amp;".jpg")</f>
        <v>Ch4a_116_Medium_653.jpg</v>
      </c>
    </row>
    <row r="137" spans="2:31" ht="12.75" customHeight="1" x14ac:dyDescent="0.25">
      <c r="B137" s="1"/>
      <c r="C137" s="1"/>
      <c r="D137" s="6" t="s">
        <v>12</v>
      </c>
      <c r="E137" s="9">
        <v>1.0038</v>
      </c>
      <c r="F137" s="9">
        <v>116.367019574365</v>
      </c>
      <c r="G137" s="11">
        <v>1159.2649887862599</v>
      </c>
      <c r="H137" s="11"/>
      <c r="I137" s="11"/>
      <c r="J137" s="11"/>
      <c r="K137" s="11"/>
      <c r="L137" s="11"/>
      <c r="W137" s="12" t="str">
        <f>IF(NOT(ISNUMBER(G137)),"",IF(G137&lt;Bands!$B$4,"Low",IF(G137&lt;Bands!$B$5,"Medium",IF(G137&lt;Bands!$B$6,"High","Very high"))))</f>
        <v>High</v>
      </c>
      <c r="AA137" s="12" t="str">
        <f>IF(W137="","",IFERROR(INDEX(Bands!$D$3:$D$6,MATCH(W137,Bands!$A$3:$A$6,0)),""))</f>
        <v>Golden-brown with a reddish tint, brown edges, somewhat uneven</v>
      </c>
      <c r="AB137" s="12" t="str">
        <f>IF(W137="","",IFERROR(INDEX(Bands!$J$3:$J$6,MATCH(W137,Bands!$A$3:$A$6,0)),""))</f>
        <v>Not pale yellow, which would match a low value. Not black or burnt, since very dark chips can have lower acrylamide.</v>
      </c>
      <c r="AE137" s="12" t="str">
        <f>IF(W137="","","Ch4a_"&amp;TEXT(COUNT($G$2:G137),"000")&amp;"_"&amp;SUBSTITUTE(W137," ","-")&amp;"_"&amp;TEXT(G137,"0")&amp;".jpg")</f>
        <v>Ch4a_117_High_1159.jpg</v>
      </c>
    </row>
    <row r="138" spans="2:31" ht="12.75" customHeight="1" x14ac:dyDescent="0.25">
      <c r="B138" s="1"/>
      <c r="C138" s="1"/>
      <c r="D138" s="6" t="s">
        <v>13</v>
      </c>
      <c r="E138" s="9">
        <v>1.0031000000000001</v>
      </c>
      <c r="F138" s="9">
        <v>81.462138593893698</v>
      </c>
      <c r="G138" s="11">
        <v>812.10386396065906</v>
      </c>
      <c r="H138" s="11"/>
      <c r="I138" s="11"/>
      <c r="J138" s="11"/>
      <c r="K138" s="11"/>
      <c r="L138" s="11"/>
      <c r="W138" s="12" t="str">
        <f>IF(NOT(ISNUMBER(G138)),"",IF(G138&lt;Bands!$B$4,"Low",IF(G138&lt;Bands!$B$5,"Medium",IF(G138&lt;Bands!$B$6,"High","Very high"))))</f>
        <v>Medium</v>
      </c>
      <c r="AA138" s="12" t="str">
        <f>IF(W138="","",IFERROR(INDEX(Bands!$D$3:$D$6,MATCH(W138,Bands!$A$3:$A$6,0)),""))</f>
        <v>Golden yellow with light brown at some edges or small spots</v>
      </c>
      <c r="AB138" s="12" t="str">
        <f>IF(W138="","",IFERROR(INDEX(Bands!$J$3:$J$6,MATCH(W138,Bands!$A$3:$A$6,0)),""))</f>
        <v>Not pale yellow (matches a low value) and not deep reddish-brown (matches a high value). Avoid black or burnt chips.</v>
      </c>
      <c r="AE138" s="12" t="str">
        <f>IF(W138="","","Ch4a_"&amp;TEXT(COUNT($G$2:G138),"000")&amp;"_"&amp;SUBSTITUTE(W138," ","-")&amp;"_"&amp;TEXT(G138,"0")&amp;".jpg")</f>
        <v>Ch4a_118_Medium_812.jpg</v>
      </c>
    </row>
    <row r="139" spans="2:31" ht="12.75" customHeight="1" x14ac:dyDescent="0.25">
      <c r="B139" s="1"/>
      <c r="C139" s="1"/>
      <c r="D139" s="6" t="s">
        <v>14</v>
      </c>
      <c r="E139" s="9">
        <v>1.0049999999999999</v>
      </c>
      <c r="F139" s="9">
        <v>48.633509904814503</v>
      </c>
      <c r="G139" s="11">
        <v>483.91552144093998</v>
      </c>
      <c r="H139" s="11"/>
      <c r="I139" s="11"/>
      <c r="J139" s="11"/>
      <c r="K139" s="11"/>
      <c r="L139" s="11"/>
      <c r="W139" s="12" t="str">
        <f>IF(NOT(ISNUMBER(G139)),"",IF(G139&lt;Bands!$B$4,"Low",IF(G139&lt;Bands!$B$5,"Medium",IF(G139&lt;Bands!$B$6,"High","Very high"))))</f>
        <v>Low</v>
      </c>
      <c r="AA139" s="12" t="str">
        <f>IF(W139="","",IFERROR(INDEX(Bands!$D$3:$D$6,MATCH(W139,Bands!$A$3:$A$6,0)),""))</f>
        <v>Pale yellow to light golden, even colour, no brown spots</v>
      </c>
      <c r="AB139" s="12" t="str">
        <f>IF(W139="","",IFERROR(INDEX(Bands!$J$3:$J$6,MATCH(W139,Bands!$A$3:$A$6,0)),""))</f>
        <v>Not deep golden-brown or reddish-brown (those match higher values). Avoid black or burnt chips.</v>
      </c>
      <c r="AE139" s="12" t="str">
        <f>IF(W139="","","Ch4a_"&amp;TEXT(COUNT($G$2:G139),"000")&amp;"_"&amp;SUBSTITUTE(W139," ","-")&amp;"_"&amp;TEXT(G139,"0")&amp;".jpg")</f>
        <v>Ch4a_119_Low_484.jpg</v>
      </c>
    </row>
    <row r="140" spans="2:31" ht="12.75" customHeight="1" x14ac:dyDescent="0.25">
      <c r="B140" s="1"/>
      <c r="C140" s="1"/>
      <c r="D140" s="6" t="s">
        <v>15</v>
      </c>
      <c r="E140" s="9">
        <v>1.0006999999999999</v>
      </c>
      <c r="F140" s="9">
        <v>25.863529167451102</v>
      </c>
      <c r="G140" s="11">
        <v>258.45437361298201</v>
      </c>
      <c r="H140" s="11"/>
      <c r="I140" s="11"/>
      <c r="J140" s="11"/>
      <c r="K140" s="11"/>
      <c r="L140" s="11"/>
      <c r="W140" s="12" t="str">
        <f>IF(NOT(ISNUMBER(G140)),"",IF(G140&lt;Bands!$B$4,"Low",IF(G140&lt;Bands!$B$5,"Medium",IF(G140&lt;Bands!$B$6,"High","Very high"))))</f>
        <v>Low</v>
      </c>
      <c r="AA140" s="12" t="str">
        <f>IF(W140="","",IFERROR(INDEX(Bands!$D$3:$D$6,MATCH(W140,Bands!$A$3:$A$6,0)),""))</f>
        <v>Pale yellow to light golden, even colour, no brown spots</v>
      </c>
      <c r="AB140" s="12" t="str">
        <f>IF(W140="","",IFERROR(INDEX(Bands!$J$3:$J$6,MATCH(W140,Bands!$A$3:$A$6,0)),""))</f>
        <v>Not deep golden-brown or reddish-brown (those match higher values). Avoid black or burnt chips.</v>
      </c>
      <c r="AE140" s="12" t="str">
        <f>IF(W140="","","Ch4a_"&amp;TEXT(COUNT($G$2:G140),"000")&amp;"_"&amp;SUBSTITUTE(W140," ","-")&amp;"_"&amp;TEXT(G140,"0")&amp;".jpg")</f>
        <v>Ch4a_120_Low_258.jpg</v>
      </c>
    </row>
    <row r="141" spans="2:31" ht="12.75" customHeight="1" x14ac:dyDescent="0.25">
      <c r="E141" s="9"/>
      <c r="F141" s="9"/>
      <c r="G141" s="11"/>
      <c r="H141" s="11"/>
      <c r="I141" s="11"/>
      <c r="J141" s="11"/>
      <c r="K141" s="11"/>
      <c r="L141" s="11"/>
    </row>
    <row r="142" spans="2:31" ht="12.75" customHeight="1" x14ac:dyDescent="0.25">
      <c r="B142" s="1" t="s">
        <v>87</v>
      </c>
      <c r="C142" s="2" t="s">
        <v>88</v>
      </c>
      <c r="D142" s="6" t="s">
        <v>10</v>
      </c>
      <c r="E142" s="9">
        <v>1.0047999999999999</v>
      </c>
      <c r="F142" s="9">
        <v>48.6314241880442</v>
      </c>
      <c r="G142" s="11">
        <v>483.99108467400703</v>
      </c>
      <c r="H142" s="11"/>
      <c r="I142" s="11">
        <v>39.97</v>
      </c>
      <c r="J142" s="11">
        <v>3.17</v>
      </c>
      <c r="K142" s="11">
        <v>19.77</v>
      </c>
      <c r="L142" s="11"/>
      <c r="W142" s="12" t="str">
        <f>IF(NOT(ISNUMBER(G142)),"",IF(G142&lt;Bands!$B$4,"Low",IF(G142&lt;Bands!$B$5,"Medium",IF(G142&lt;Bands!$B$6,"High","Very high"))))</f>
        <v>Low</v>
      </c>
      <c r="Y142" s="12" t="str">
        <f>IF(NOT(ISNUMBER(J142)),"",IF(J142&lt;Bands!$B$18,"Light",IF(J142&lt;Bands!$B$19,"Medium","Dark")))</f>
        <v>Medium</v>
      </c>
      <c r="AA142" s="12" t="str">
        <f>IF(W142="","",IFERROR(INDEX(Bands!$D$3:$D$6,MATCH(W142,Bands!$A$3:$A$6,0)),""))</f>
        <v>Pale yellow to light golden, even colour, no brown spots</v>
      </c>
      <c r="AB142" s="12" t="str">
        <f>IF(W142="","",IFERROR(INDEX(Bands!$J$3:$J$6,MATCH(W142,Bands!$A$3:$A$6,0)),""))</f>
        <v>Not deep golden-brown or reddish-brown (those match higher values). Avoid black or burnt chips.</v>
      </c>
      <c r="AE142" s="12" t="str">
        <f>IF(W142="","","Ch4a_"&amp;TEXT(COUNT($G$2:G142),"000")&amp;"_"&amp;SUBSTITUTE(W142," ","-")&amp;"_"&amp;TEXT(G142,"0")&amp;".jpg")</f>
        <v>Ch4a_121_Low_484.jpg</v>
      </c>
    </row>
    <row r="143" spans="2:31" ht="12.75" customHeight="1" x14ac:dyDescent="0.25">
      <c r="B143" s="1"/>
      <c r="C143" s="1"/>
      <c r="D143" s="6" t="s">
        <v>11</v>
      </c>
      <c r="E143" s="9">
        <v>1.006</v>
      </c>
      <c r="F143" s="9">
        <v>27.969116464710801</v>
      </c>
      <c r="G143" s="11">
        <v>278.02302648817903</v>
      </c>
      <c r="H143" s="11"/>
      <c r="I143" s="11">
        <v>33.78</v>
      </c>
      <c r="J143" s="11">
        <v>2.4500000000000002</v>
      </c>
      <c r="K143" s="11">
        <v>17.62</v>
      </c>
      <c r="L143" s="11"/>
      <c r="W143" s="12" t="str">
        <f>IF(NOT(ISNUMBER(G143)),"",IF(G143&lt;Bands!$B$4,"Low",IF(G143&lt;Bands!$B$5,"Medium",IF(G143&lt;Bands!$B$6,"High","Very high"))))</f>
        <v>Low</v>
      </c>
      <c r="Y143" s="12" t="str">
        <f>IF(NOT(ISNUMBER(J143)),"",IF(J143&lt;Bands!$B$18,"Light",IF(J143&lt;Bands!$B$19,"Medium","Dark")))</f>
        <v>Light</v>
      </c>
      <c r="AA143" s="12" t="str">
        <f>IF(W143="","",IFERROR(INDEX(Bands!$D$3:$D$6,MATCH(W143,Bands!$A$3:$A$6,0)),""))</f>
        <v>Pale yellow to light golden, even colour, no brown spots</v>
      </c>
      <c r="AB143" s="12" t="str">
        <f>IF(W143="","",IFERROR(INDEX(Bands!$J$3:$J$6,MATCH(W143,Bands!$A$3:$A$6,0)),""))</f>
        <v>Not deep golden-brown or reddish-brown (those match higher values). Avoid black or burnt chips.</v>
      </c>
      <c r="AE143" s="12" t="str">
        <f>IF(W143="","","Ch4a_"&amp;TEXT(COUNT($G$2:G143),"000")&amp;"_"&amp;SUBSTITUTE(W143," ","-")&amp;"_"&amp;TEXT(G143,"0")&amp;".jpg")</f>
        <v>Ch4a_122_Low_278.jpg</v>
      </c>
    </row>
    <row r="144" spans="2:31" ht="12.75" customHeight="1" x14ac:dyDescent="0.25">
      <c r="B144" s="1"/>
      <c r="C144" s="1"/>
      <c r="D144" s="6" t="s">
        <v>12</v>
      </c>
      <c r="E144" s="9">
        <v>1.0007999999999999</v>
      </c>
      <c r="F144" s="9">
        <v>140.02379898909601</v>
      </c>
      <c r="G144" s="11">
        <v>1399.1186949350099</v>
      </c>
      <c r="H144" s="11"/>
      <c r="I144" s="11"/>
      <c r="J144" s="11"/>
      <c r="K144" s="11"/>
      <c r="L144" s="11"/>
      <c r="W144" s="12" t="str">
        <f>IF(NOT(ISNUMBER(G144)),"",IF(G144&lt;Bands!$B$4,"Low",IF(G144&lt;Bands!$B$5,"Medium",IF(G144&lt;Bands!$B$6,"High","Very high"))))</f>
        <v>High</v>
      </c>
      <c r="AA144" s="12" t="str">
        <f>IF(W144="","",IFERROR(INDEX(Bands!$D$3:$D$6,MATCH(W144,Bands!$A$3:$A$6,0)),""))</f>
        <v>Golden-brown with a reddish tint, brown edges, somewhat uneven</v>
      </c>
      <c r="AB144" s="12" t="str">
        <f>IF(W144="","",IFERROR(INDEX(Bands!$J$3:$J$6,MATCH(W144,Bands!$A$3:$A$6,0)),""))</f>
        <v>Not pale yellow, which would match a low value. Not black or burnt, since very dark chips can have lower acrylamide.</v>
      </c>
      <c r="AE144" s="12" t="str">
        <f>IF(W144="","","Ch4a_"&amp;TEXT(COUNT($G$2:G144),"000")&amp;"_"&amp;SUBSTITUTE(W144," ","-")&amp;"_"&amp;TEXT(G144,"0")&amp;".jpg")</f>
        <v>Ch4a_123_High_1399.jpg</v>
      </c>
    </row>
    <row r="145" spans="2:31" ht="12.75" customHeight="1" x14ac:dyDescent="0.25">
      <c r="B145" s="1"/>
      <c r="C145" s="1"/>
      <c r="D145" s="6" t="s">
        <v>13</v>
      </c>
      <c r="E145" s="9">
        <v>1.0094000000000001</v>
      </c>
      <c r="F145" s="9">
        <v>52.438711568869302</v>
      </c>
      <c r="G145" s="11">
        <v>519.50378015523404</v>
      </c>
      <c r="H145" s="11"/>
      <c r="I145" s="11"/>
      <c r="J145" s="11"/>
      <c r="K145" s="11"/>
      <c r="L145" s="11"/>
      <c r="W145" s="12" t="str">
        <f>IF(NOT(ISNUMBER(G145)),"",IF(G145&lt;Bands!$B$4,"Low",IF(G145&lt;Bands!$B$5,"Medium",IF(G145&lt;Bands!$B$6,"High","Very high"))))</f>
        <v>Medium</v>
      </c>
      <c r="AA145" s="12" t="str">
        <f>IF(W145="","",IFERROR(INDEX(Bands!$D$3:$D$6,MATCH(W145,Bands!$A$3:$A$6,0)),""))</f>
        <v>Golden yellow with light brown at some edges or small spots</v>
      </c>
      <c r="AB145" s="12" t="str">
        <f>IF(W145="","",IFERROR(INDEX(Bands!$J$3:$J$6,MATCH(W145,Bands!$A$3:$A$6,0)),""))</f>
        <v>Not pale yellow (matches a low value) and not deep reddish-brown (matches a high value). Avoid black or burnt chips.</v>
      </c>
      <c r="AE145" s="12" t="str">
        <f>IF(W145="","","Ch4a_"&amp;TEXT(COUNT($G$2:G145),"000")&amp;"_"&amp;SUBSTITUTE(W145," ","-")&amp;"_"&amp;TEXT(G145,"0")&amp;".jpg")</f>
        <v>Ch4a_124_Medium_520.jpg</v>
      </c>
    </row>
    <row r="146" spans="2:31" ht="12.75" customHeight="1" x14ac:dyDescent="0.25">
      <c r="B146" s="1"/>
      <c r="C146" s="1"/>
      <c r="D146" s="6" t="s">
        <v>14</v>
      </c>
      <c r="E146" s="9">
        <v>1.0041</v>
      </c>
      <c r="F146" s="9">
        <v>17.1368222838077</v>
      </c>
      <c r="G146" s="11">
        <v>170.66848206162399</v>
      </c>
      <c r="H146" s="11"/>
      <c r="I146" s="11"/>
      <c r="J146" s="11"/>
      <c r="K146" s="11"/>
      <c r="L146" s="11"/>
      <c r="W146" s="12" t="str">
        <f>IF(NOT(ISNUMBER(G146)),"",IF(G146&lt;Bands!$B$4,"Low",IF(G146&lt;Bands!$B$5,"Medium",IF(G146&lt;Bands!$B$6,"High","Very high"))))</f>
        <v>Low</v>
      </c>
      <c r="AA146" s="12" t="str">
        <f>IF(W146="","",IFERROR(INDEX(Bands!$D$3:$D$6,MATCH(W146,Bands!$A$3:$A$6,0)),""))</f>
        <v>Pale yellow to light golden, even colour, no brown spots</v>
      </c>
      <c r="AB146" s="12" t="str">
        <f>IF(W146="","",IFERROR(INDEX(Bands!$J$3:$J$6,MATCH(W146,Bands!$A$3:$A$6,0)),""))</f>
        <v>Not deep golden-brown or reddish-brown (those match higher values). Avoid black or burnt chips.</v>
      </c>
      <c r="AE146" s="12" t="str">
        <f>IF(W146="","","Ch4a_"&amp;TEXT(COUNT($G$2:G146),"000")&amp;"_"&amp;SUBSTITUTE(W146," ","-")&amp;"_"&amp;TEXT(G146,"0")&amp;".jpg")</f>
        <v>Ch4a_125_Low_171.jpg</v>
      </c>
    </row>
    <row r="147" spans="2:31" ht="12.75" customHeight="1" x14ac:dyDescent="0.25">
      <c r="B147" s="1"/>
      <c r="C147" s="1"/>
      <c r="D147" s="6" t="s">
        <v>15</v>
      </c>
      <c r="E147" s="9">
        <v>1.0015000000000001</v>
      </c>
      <c r="F147" s="9">
        <v>23.3178448570673</v>
      </c>
      <c r="G147" s="11">
        <v>232.829204763528</v>
      </c>
      <c r="H147" s="11"/>
      <c r="I147" s="11">
        <v>30.99</v>
      </c>
      <c r="J147" s="11">
        <v>2.38</v>
      </c>
      <c r="K147" s="11">
        <v>15.22</v>
      </c>
      <c r="L147" s="11"/>
      <c r="W147" s="12" t="str">
        <f>IF(NOT(ISNUMBER(G147)),"",IF(G147&lt;Bands!$B$4,"Low",IF(G147&lt;Bands!$B$5,"Medium",IF(G147&lt;Bands!$B$6,"High","Very high"))))</f>
        <v>Low</v>
      </c>
      <c r="Y147" s="12" t="str">
        <f>IF(NOT(ISNUMBER(J147)),"",IF(J147&lt;Bands!$B$18,"Light",IF(J147&lt;Bands!$B$19,"Medium","Dark")))</f>
        <v>Light</v>
      </c>
      <c r="AA147" s="12" t="str">
        <f>IF(W147="","",IFERROR(INDEX(Bands!$D$3:$D$6,MATCH(W147,Bands!$A$3:$A$6,0)),""))</f>
        <v>Pale yellow to light golden, even colour, no brown spots</v>
      </c>
      <c r="AB147" s="12" t="str">
        <f>IF(W147="","",IFERROR(INDEX(Bands!$J$3:$J$6,MATCH(W147,Bands!$A$3:$A$6,0)),""))</f>
        <v>Not deep golden-brown or reddish-brown (those match higher values). Avoid black or burnt chips.</v>
      </c>
      <c r="AE147" s="12" t="str">
        <f>IF(W147="","","Ch4a_"&amp;TEXT(COUNT($G$2:G147),"000")&amp;"_"&amp;SUBSTITUTE(W147," ","-")&amp;"_"&amp;TEXT(G147,"0")&amp;".jpg")</f>
        <v>Ch4a_126_Low_233.jpg</v>
      </c>
    </row>
    <row r="148" spans="2:31" ht="12.75" customHeight="1" x14ac:dyDescent="0.25">
      <c r="B148" s="1"/>
      <c r="E148" s="9"/>
      <c r="F148" s="9"/>
      <c r="G148" s="11"/>
      <c r="H148" s="11"/>
      <c r="I148" s="11"/>
      <c r="J148" s="11"/>
      <c r="K148" s="11"/>
      <c r="L148" s="11"/>
    </row>
    <row r="149" spans="2:31" ht="12.75" customHeight="1" x14ac:dyDescent="0.25">
      <c r="B149" s="1"/>
      <c r="C149" s="2" t="s">
        <v>82</v>
      </c>
      <c r="D149" s="6" t="s">
        <v>10</v>
      </c>
      <c r="E149" s="9">
        <v>1.0003</v>
      </c>
      <c r="F149" s="9">
        <v>104.94019452788299</v>
      </c>
      <c r="G149" s="11">
        <v>1049.0872191131</v>
      </c>
      <c r="H149" s="11"/>
      <c r="I149" s="11"/>
      <c r="J149" s="11"/>
      <c r="K149" s="11"/>
      <c r="L149" s="11"/>
      <c r="W149" s="12" t="str">
        <f>IF(NOT(ISNUMBER(G149)),"",IF(G149&lt;Bands!$B$4,"Low",IF(G149&lt;Bands!$B$5,"Medium",IF(G149&lt;Bands!$B$6,"High","Very high"))))</f>
        <v>High</v>
      </c>
      <c r="AA149" s="12" t="str">
        <f>IF(W149="","",IFERROR(INDEX(Bands!$D$3:$D$6,MATCH(W149,Bands!$A$3:$A$6,0)),""))</f>
        <v>Golden-brown with a reddish tint, brown edges, somewhat uneven</v>
      </c>
      <c r="AB149" s="12" t="str">
        <f>IF(W149="","",IFERROR(INDEX(Bands!$J$3:$J$6,MATCH(W149,Bands!$A$3:$A$6,0)),""))</f>
        <v>Not pale yellow, which would match a low value. Not black or burnt, since very dark chips can have lower acrylamide.</v>
      </c>
      <c r="AE149" s="12" t="str">
        <f>IF(W149="","","Ch4a_"&amp;TEXT(COUNT($G$2:G149),"000")&amp;"_"&amp;SUBSTITUTE(W149," ","-")&amp;"_"&amp;TEXT(G149,"0")&amp;".jpg")</f>
        <v>Ch4a_127_High_1049.jpg</v>
      </c>
    </row>
    <row r="150" spans="2:31" ht="12.75" customHeight="1" x14ac:dyDescent="0.25">
      <c r="B150" s="1"/>
      <c r="C150" s="1"/>
      <c r="D150" s="6" t="s">
        <v>11</v>
      </c>
      <c r="E150" s="9">
        <v>0.99980000000000002</v>
      </c>
      <c r="F150" s="9">
        <v>19.813159062014201</v>
      </c>
      <c r="G150" s="11">
        <v>198.17122486511499</v>
      </c>
      <c r="H150" s="11"/>
      <c r="I150" s="11">
        <v>34.590000000000003</v>
      </c>
      <c r="J150" s="11">
        <v>2.39</v>
      </c>
      <c r="K150" s="11">
        <v>18.170000000000002</v>
      </c>
      <c r="L150" s="11"/>
      <c r="W150" s="12" t="str">
        <f>IF(NOT(ISNUMBER(G150)),"",IF(G150&lt;Bands!$B$4,"Low",IF(G150&lt;Bands!$B$5,"Medium",IF(G150&lt;Bands!$B$6,"High","Very high"))))</f>
        <v>Low</v>
      </c>
      <c r="Y150" s="12" t="str">
        <f>IF(NOT(ISNUMBER(J150)),"",IF(J150&lt;Bands!$B$18,"Light",IF(J150&lt;Bands!$B$19,"Medium","Dark")))</f>
        <v>Light</v>
      </c>
      <c r="AA150" s="12" t="str">
        <f>IF(W150="","",IFERROR(INDEX(Bands!$D$3:$D$6,MATCH(W150,Bands!$A$3:$A$6,0)),""))</f>
        <v>Pale yellow to light golden, even colour, no brown spots</v>
      </c>
      <c r="AB150" s="12" t="str">
        <f>IF(W150="","",IFERROR(INDEX(Bands!$J$3:$J$6,MATCH(W150,Bands!$A$3:$A$6,0)),""))</f>
        <v>Not deep golden-brown or reddish-brown (those match higher values). Avoid black or burnt chips.</v>
      </c>
      <c r="AE150" s="12" t="str">
        <f>IF(W150="","","Ch4a_"&amp;TEXT(COUNT($G$2:G150),"000")&amp;"_"&amp;SUBSTITUTE(W150," ","-")&amp;"_"&amp;TEXT(G150,"0")&amp;".jpg")</f>
        <v>Ch4a_128_Low_198.jpg</v>
      </c>
    </row>
    <row r="151" spans="2:31" ht="12.75" customHeight="1" x14ac:dyDescent="0.25">
      <c r="B151" s="1"/>
      <c r="C151" s="1"/>
      <c r="D151" s="6" t="s">
        <v>12</v>
      </c>
      <c r="E151" s="9">
        <v>1.0037</v>
      </c>
      <c r="F151" s="9">
        <v>64.203197664087298</v>
      </c>
      <c r="G151" s="11">
        <v>639.66521534410003</v>
      </c>
      <c r="H151" s="11"/>
      <c r="I151" s="11"/>
      <c r="J151" s="11"/>
      <c r="K151" s="11"/>
      <c r="L151" s="11"/>
      <c r="W151" s="12" t="str">
        <f>IF(NOT(ISNUMBER(G151)),"",IF(G151&lt;Bands!$B$4,"Low",IF(G151&lt;Bands!$B$5,"Medium",IF(G151&lt;Bands!$B$6,"High","Very high"))))</f>
        <v>Medium</v>
      </c>
      <c r="AA151" s="12" t="str">
        <f>IF(W151="","",IFERROR(INDEX(Bands!$D$3:$D$6,MATCH(W151,Bands!$A$3:$A$6,0)),""))</f>
        <v>Golden yellow with light brown at some edges or small spots</v>
      </c>
      <c r="AB151" s="12" t="str">
        <f>IF(W151="","",IFERROR(INDEX(Bands!$J$3:$J$6,MATCH(W151,Bands!$A$3:$A$6,0)),""))</f>
        <v>Not pale yellow (matches a low value) and not deep reddish-brown (matches a high value). Avoid black or burnt chips.</v>
      </c>
      <c r="AE151" s="12" t="str">
        <f>IF(W151="","","Ch4a_"&amp;TEXT(COUNT($G$2:G151),"000")&amp;"_"&amp;SUBSTITUTE(W151," ","-")&amp;"_"&amp;TEXT(G151,"0")&amp;".jpg")</f>
        <v>Ch4a_129_Medium_640.jpg</v>
      </c>
    </row>
    <row r="152" spans="2:31" ht="12.75" customHeight="1" x14ac:dyDescent="0.25">
      <c r="B152" s="1"/>
      <c r="C152" s="1"/>
      <c r="D152" s="6" t="s">
        <v>13</v>
      </c>
      <c r="E152" s="9">
        <v>1.0033000000000001</v>
      </c>
      <c r="F152" s="9">
        <v>123.574996073241</v>
      </c>
      <c r="G152" s="11">
        <v>1231.6853989159899</v>
      </c>
      <c r="H152" s="11"/>
      <c r="I152" s="11">
        <v>33.33</v>
      </c>
      <c r="J152" s="11">
        <v>4.75</v>
      </c>
      <c r="K152" s="11">
        <v>19.850000000000001</v>
      </c>
      <c r="L152" s="11"/>
      <c r="W152" s="12" t="str">
        <f>IF(NOT(ISNUMBER(G152)),"",IF(G152&lt;Bands!$B$4,"Low",IF(G152&lt;Bands!$B$5,"Medium",IF(G152&lt;Bands!$B$6,"High","Very high"))))</f>
        <v>High</v>
      </c>
      <c r="Y152" s="12" t="str">
        <f>IF(NOT(ISNUMBER(J152)),"",IF(J152&lt;Bands!$B$18,"Light",IF(J152&lt;Bands!$B$19,"Medium","Dark")))</f>
        <v>Medium</v>
      </c>
      <c r="AA152" s="12" t="str">
        <f>IF(W152="","",IFERROR(INDEX(Bands!$D$3:$D$6,MATCH(W152,Bands!$A$3:$A$6,0)),""))</f>
        <v>Golden-brown with a reddish tint, brown edges, somewhat uneven</v>
      </c>
      <c r="AB152" s="12" t="str">
        <f>IF(W152="","",IFERROR(INDEX(Bands!$J$3:$J$6,MATCH(W152,Bands!$A$3:$A$6,0)),""))</f>
        <v>Not pale yellow, which would match a low value. Not black or burnt, since very dark chips can have lower acrylamide.</v>
      </c>
      <c r="AE152" s="12" t="str">
        <f>IF(W152="","","Ch4a_"&amp;TEXT(COUNT($G$2:G152),"000")&amp;"_"&amp;SUBSTITUTE(W152," ","-")&amp;"_"&amp;TEXT(G152,"0")&amp;".jpg")</f>
        <v>Ch4a_130_High_1232.jpg</v>
      </c>
    </row>
    <row r="153" spans="2:31" ht="12.75" customHeight="1" x14ac:dyDescent="0.25">
      <c r="B153" s="1"/>
      <c r="C153" s="1"/>
      <c r="D153" s="6" t="s">
        <v>14</v>
      </c>
      <c r="E153" s="9">
        <v>1.0007999999999999</v>
      </c>
      <c r="F153" s="9">
        <v>50.531315987725698</v>
      </c>
      <c r="G153" s="11">
        <v>504.90923249126399</v>
      </c>
      <c r="H153" s="11"/>
      <c r="I153" s="11">
        <v>40.76</v>
      </c>
      <c r="J153" s="11">
        <v>3.13</v>
      </c>
      <c r="K153" s="11">
        <v>18.84</v>
      </c>
      <c r="L153" s="11"/>
      <c r="W153" s="12" t="str">
        <f>IF(NOT(ISNUMBER(G153)),"",IF(G153&lt;Bands!$B$4,"Low",IF(G153&lt;Bands!$B$5,"Medium",IF(G153&lt;Bands!$B$6,"High","Very high"))))</f>
        <v>Medium</v>
      </c>
      <c r="Y153" s="12" t="str">
        <f>IF(NOT(ISNUMBER(J153)),"",IF(J153&lt;Bands!$B$18,"Light",IF(J153&lt;Bands!$B$19,"Medium","Dark")))</f>
        <v>Medium</v>
      </c>
      <c r="AA153" s="12" t="str">
        <f>IF(W153="","",IFERROR(INDEX(Bands!$D$3:$D$6,MATCH(W153,Bands!$A$3:$A$6,0)),""))</f>
        <v>Golden yellow with light brown at some edges or small spots</v>
      </c>
      <c r="AB153" s="12" t="str">
        <f>IF(W153="","",IFERROR(INDEX(Bands!$J$3:$J$6,MATCH(W153,Bands!$A$3:$A$6,0)),""))</f>
        <v>Not pale yellow (matches a low value) and not deep reddish-brown (matches a high value). Avoid black or burnt chips.</v>
      </c>
      <c r="AE153" s="12" t="str">
        <f>IF(W153="","","Ch4a_"&amp;TEXT(COUNT($G$2:G153),"000")&amp;"_"&amp;SUBSTITUTE(W153," ","-")&amp;"_"&amp;TEXT(G153,"0")&amp;".jpg")</f>
        <v>Ch4a_131_Medium_505.jpg</v>
      </c>
    </row>
    <row r="154" spans="2:31" ht="12.75" customHeight="1" x14ac:dyDescent="0.25">
      <c r="B154" s="1"/>
      <c r="C154" s="1"/>
      <c r="D154" s="6" t="s">
        <v>15</v>
      </c>
      <c r="E154" s="9">
        <v>1.0009999999999999</v>
      </c>
      <c r="F154" s="9">
        <v>39.076439443320801</v>
      </c>
      <c r="G154" s="11">
        <v>390.37402041279501</v>
      </c>
      <c r="H154" s="11"/>
      <c r="I154" s="11"/>
      <c r="J154" s="11"/>
      <c r="K154" s="11"/>
      <c r="L154" s="11"/>
      <c r="W154" s="12" t="str">
        <f>IF(NOT(ISNUMBER(G154)),"",IF(G154&lt;Bands!$B$4,"Low",IF(G154&lt;Bands!$B$5,"Medium",IF(G154&lt;Bands!$B$6,"High","Very high"))))</f>
        <v>Low</v>
      </c>
      <c r="AA154" s="12" t="str">
        <f>IF(W154="","",IFERROR(INDEX(Bands!$D$3:$D$6,MATCH(W154,Bands!$A$3:$A$6,0)),""))</f>
        <v>Pale yellow to light golden, even colour, no brown spots</v>
      </c>
      <c r="AB154" s="12" t="str">
        <f>IF(W154="","",IFERROR(INDEX(Bands!$J$3:$J$6,MATCH(W154,Bands!$A$3:$A$6,0)),""))</f>
        <v>Not deep golden-brown or reddish-brown (those match higher values). Avoid black or burnt chips.</v>
      </c>
      <c r="AE154" s="12" t="str">
        <f>IF(W154="","","Ch4a_"&amp;TEXT(COUNT($G$2:G154),"000")&amp;"_"&amp;SUBSTITUTE(W154," ","-")&amp;"_"&amp;TEXT(G154,"0")&amp;".jpg")</f>
        <v>Ch4a_132_Low_390.jpg</v>
      </c>
    </row>
  </sheetData>
  <mergeCells count="40">
    <mergeCell ref="B142:B154"/>
    <mergeCell ref="C142:C147"/>
    <mergeCell ref="C149:C154"/>
    <mergeCell ref="B114:B126"/>
    <mergeCell ref="C114:C119"/>
    <mergeCell ref="C121:C126"/>
    <mergeCell ref="B128:B140"/>
    <mergeCell ref="C128:C133"/>
    <mergeCell ref="C135:C140"/>
    <mergeCell ref="B86:B98"/>
    <mergeCell ref="C86:C91"/>
    <mergeCell ref="C93:C98"/>
    <mergeCell ref="B100:B112"/>
    <mergeCell ref="C100:C105"/>
    <mergeCell ref="C107:C112"/>
    <mergeCell ref="B65:B77"/>
    <mergeCell ref="C65:C70"/>
    <mergeCell ref="C72:C77"/>
    <mergeCell ref="B79:B84"/>
    <mergeCell ref="C79:C84"/>
    <mergeCell ref="B37:B49"/>
    <mergeCell ref="C37:C42"/>
    <mergeCell ref="N37:N42"/>
    <mergeCell ref="C44:C49"/>
    <mergeCell ref="B51:B63"/>
    <mergeCell ref="C51:C56"/>
    <mergeCell ref="C58:C63"/>
    <mergeCell ref="B23:B35"/>
    <mergeCell ref="C23:C28"/>
    <mergeCell ref="N23:N28"/>
    <mergeCell ref="C30:C35"/>
    <mergeCell ref="N30:N35"/>
    <mergeCell ref="B2:B7"/>
    <mergeCell ref="C2:C7"/>
    <mergeCell ref="N2:N7"/>
    <mergeCell ref="B9:B21"/>
    <mergeCell ref="C9:C14"/>
    <mergeCell ref="N9:N14"/>
    <mergeCell ref="C16:C21"/>
    <mergeCell ref="N16:N21"/>
  </mergeCells>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27"/>
  <sheetViews>
    <sheetView zoomScaleNormal="100" workbookViewId="0">
      <pane ySplit="1" topLeftCell="A92" activePane="bottomLeft" state="frozen"/>
      <selection pane="bottomLeft" activeCell="M109" sqref="M109"/>
    </sheetView>
  </sheetViews>
  <sheetFormatPr defaultColWidth="60" defaultRowHeight="13.2" x14ac:dyDescent="0.25"/>
  <cols>
    <col min="1" max="1" width="10.44140625" style="3" customWidth="1"/>
    <col min="2" max="2" width="13.33203125" style="6" customWidth="1"/>
    <col min="3" max="3" width="9.109375" style="6" customWidth="1"/>
    <col min="4" max="4" width="9.109375" style="3" customWidth="1"/>
    <col min="5" max="5" width="20.44140625" style="3" customWidth="1"/>
    <col min="6" max="6" width="25.6640625" style="3" customWidth="1"/>
    <col min="7" max="7" width="16" style="3" customWidth="1"/>
    <col min="8" max="16384" width="60" style="3"/>
  </cols>
  <sheetData>
    <row r="1" spans="1:10" ht="12.75" customHeight="1" x14ac:dyDescent="0.25">
      <c r="A1" s="6" t="s">
        <v>89</v>
      </c>
      <c r="B1" s="6" t="s">
        <v>90</v>
      </c>
      <c r="C1" s="6" t="s">
        <v>1</v>
      </c>
      <c r="D1" s="5" t="s">
        <v>2</v>
      </c>
      <c r="E1" s="5" t="s">
        <v>3</v>
      </c>
      <c r="F1" s="5" t="s">
        <v>4</v>
      </c>
      <c r="G1" s="5" t="s">
        <v>5</v>
      </c>
      <c r="H1" s="5" t="s">
        <v>6</v>
      </c>
      <c r="I1" s="5" t="s">
        <v>7</v>
      </c>
      <c r="J1" s="5" t="s">
        <v>8</v>
      </c>
    </row>
    <row r="2" spans="1:10" ht="12.75" customHeight="1" x14ac:dyDescent="0.25">
      <c r="A2" s="2" t="s">
        <v>91</v>
      </c>
      <c r="B2" s="2" t="s">
        <v>92</v>
      </c>
      <c r="C2" s="6">
        <v>1</v>
      </c>
      <c r="D2" s="9">
        <v>1.0518000000000001</v>
      </c>
      <c r="E2" s="9">
        <v>297.94930475626501</v>
      </c>
      <c r="F2" s="11">
        <v>2832.7562726399001</v>
      </c>
      <c r="G2" s="12" t="str">
        <f>IF(NOT(ISNUMBER(F2)),"",IF(F2&lt;Bands!$B$4,"Low",IF(F2&lt;Bands!$B$5,"Medium",IF(F2&lt;Bands!$B$6,"High","Very high"))))</f>
        <v>Very high</v>
      </c>
      <c r="H2" s="12" t="str">
        <f>IF(G2="","",IFERROR(INDEX(Bands!$D$3:$D$6,MATCH(G2,Bands!$A$3:$A$6,0)),""))</f>
        <v>Deep golden-brown to medium brown with a reddish tone; edges darkest, centre golden or light brown</v>
      </c>
      <c r="I2" s="12" t="str">
        <f>IF(G2="","",IFERROR(INDEX(Bands!$J$3:$J$6,MATCH(G2,Bands!$A$3:$A$6,0)),""))</f>
        <v>Not pale yellow, which would match a low value, or black and burnt, since very dark chips can have lower acrylamide.</v>
      </c>
      <c r="J2" s="12" t="str">
        <f>IF(G2="","","Ch5_"&amp;TEXT(COUNT($F$2:F2),"000")&amp;"_"&amp;SUBSTITUTE(G2," ","-")&amp;"_"&amp;TEXT(F2,"0")&amp;".jpg")</f>
        <v>Ch5_001_Very-high_2833.jpg</v>
      </c>
    </row>
    <row r="3" spans="1:10" ht="12.75" customHeight="1" x14ac:dyDescent="0.25">
      <c r="A3" s="2"/>
      <c r="B3" s="2"/>
      <c r="C3" s="6">
        <v>2</v>
      </c>
      <c r="D3" s="9">
        <v>0.9647</v>
      </c>
      <c r="E3" s="9">
        <v>118.60389153449501</v>
      </c>
      <c r="F3" s="11">
        <v>1229.4380795531799</v>
      </c>
      <c r="G3" s="12" t="str">
        <f>IF(NOT(ISNUMBER(F3)),"",IF(F3&lt;Bands!$B$4,"Low",IF(F3&lt;Bands!$B$5,"Medium",IF(F3&lt;Bands!$B$6,"High","Very high"))))</f>
        <v>High</v>
      </c>
      <c r="H3" s="12" t="str">
        <f>IF(G3="","",IFERROR(INDEX(Bands!$D$3:$D$6,MATCH(G3,Bands!$A$3:$A$6,0)),""))</f>
        <v>Golden-brown with a reddish tint, brown edges, somewhat uneven</v>
      </c>
      <c r="I3" s="12" t="str">
        <f>IF(G3="","",IFERROR(INDEX(Bands!$J$3:$J$6,MATCH(G3,Bands!$A$3:$A$6,0)),""))</f>
        <v>Not pale yellow, which would match a low value. Not black or burnt, since very dark chips can have lower acrylamide.</v>
      </c>
      <c r="J3" s="12" t="str">
        <f>IF(G3="","","Ch5_"&amp;TEXT(COUNT($F$2:F3),"000")&amp;"_"&amp;SUBSTITUTE(G3," ","-")&amp;"_"&amp;TEXT(F3,"0")&amp;".jpg")</f>
        <v>Ch5_002_High_1229.jpg</v>
      </c>
    </row>
    <row r="4" spans="1:10" ht="12.75" customHeight="1" x14ac:dyDescent="0.25">
      <c r="A4" s="2"/>
      <c r="B4" s="2"/>
      <c r="C4" s="6">
        <v>3</v>
      </c>
      <c r="D4" s="9">
        <v>1.0204</v>
      </c>
      <c r="E4" s="9">
        <v>153.07813929456401</v>
      </c>
      <c r="F4" s="11">
        <v>1500.17776650886</v>
      </c>
      <c r="G4" s="12" t="str">
        <f>IF(NOT(ISNUMBER(F4)),"",IF(F4&lt;Bands!$B$4,"Low",IF(F4&lt;Bands!$B$5,"Medium",IF(F4&lt;Bands!$B$6,"High","Very high"))))</f>
        <v>High</v>
      </c>
      <c r="H4" s="12" t="str">
        <f>IF(G4="","",IFERROR(INDEX(Bands!$D$3:$D$6,MATCH(G4,Bands!$A$3:$A$6,0)),""))</f>
        <v>Golden-brown with a reddish tint, brown edges, somewhat uneven</v>
      </c>
      <c r="I4" s="12" t="str">
        <f>IF(G4="","",IFERROR(INDEX(Bands!$J$3:$J$6,MATCH(G4,Bands!$A$3:$A$6,0)),""))</f>
        <v>Not pale yellow, which would match a low value. Not black or burnt, since very dark chips can have lower acrylamide.</v>
      </c>
      <c r="J4" s="12" t="str">
        <f>IF(G4="","","Ch5_"&amp;TEXT(COUNT($F$2:F4),"000")&amp;"_"&amp;SUBSTITUTE(G4," ","-")&amp;"_"&amp;TEXT(F4,"0")&amp;".jpg")</f>
        <v>Ch5_003_High_1500.jpg</v>
      </c>
    </row>
    <row r="5" spans="1:10" ht="12.75" customHeight="1" x14ac:dyDescent="0.25">
      <c r="A5" s="2"/>
      <c r="B5" s="2"/>
      <c r="C5" s="6">
        <v>4</v>
      </c>
      <c r="D5" s="9">
        <v>0.9577</v>
      </c>
      <c r="E5" s="9">
        <v>286.83586358007699</v>
      </c>
      <c r="F5" s="11">
        <v>2995.0492177098999</v>
      </c>
      <c r="G5" s="12" t="str">
        <f>IF(NOT(ISNUMBER(F5)),"",IF(F5&lt;Bands!$B$4,"Low",IF(F5&lt;Bands!$B$5,"Medium",IF(F5&lt;Bands!$B$6,"High","Very high"))))</f>
        <v>Very high</v>
      </c>
      <c r="H5" s="12" t="str">
        <f>IF(G5="","",IFERROR(INDEX(Bands!$D$3:$D$6,MATCH(G5,Bands!$A$3:$A$6,0)),""))</f>
        <v>Deep golden-brown to medium brown with a reddish tone; edges darkest, centre golden or light brown</v>
      </c>
      <c r="I5" s="12" t="str">
        <f>IF(G5="","",IFERROR(INDEX(Bands!$J$3:$J$6,MATCH(G5,Bands!$A$3:$A$6,0)),""))</f>
        <v>Not pale yellow, which would match a low value, or black and burnt, since very dark chips can have lower acrylamide.</v>
      </c>
      <c r="J5" s="12" t="str">
        <f>IF(G5="","","Ch5_"&amp;TEXT(COUNT($F$2:F5),"000")&amp;"_"&amp;SUBSTITUTE(G5," ","-")&amp;"_"&amp;TEXT(F5,"0")&amp;".jpg")</f>
        <v>Ch5_004_Very-high_2995.jpg</v>
      </c>
    </row>
    <row r="6" spans="1:10" ht="12.75" customHeight="1" x14ac:dyDescent="0.25">
      <c r="A6" s="2"/>
      <c r="B6" s="2"/>
      <c r="C6" s="6">
        <v>5</v>
      </c>
      <c r="D6" s="9">
        <v>1.0186999999999999</v>
      </c>
      <c r="E6" s="9">
        <v>227.38925905207</v>
      </c>
      <c r="F6" s="11">
        <v>2232.1513600870699</v>
      </c>
      <c r="G6" s="12" t="str">
        <f>IF(NOT(ISNUMBER(F6)),"",IF(F6&lt;Bands!$B$4,"Low",IF(F6&lt;Bands!$B$5,"Medium",IF(F6&lt;Bands!$B$6,"High","Very high"))))</f>
        <v>Very high</v>
      </c>
      <c r="H6" s="12" t="str">
        <f>IF(G6="","",IFERROR(INDEX(Bands!$D$3:$D$6,MATCH(G6,Bands!$A$3:$A$6,0)),""))</f>
        <v>Deep golden-brown to medium brown with a reddish tone; edges darkest, centre golden or light brown</v>
      </c>
      <c r="I6" s="12" t="str">
        <f>IF(G6="","",IFERROR(INDEX(Bands!$J$3:$J$6,MATCH(G6,Bands!$A$3:$A$6,0)),""))</f>
        <v>Not pale yellow, which would match a low value, or black and burnt, since very dark chips can have lower acrylamide.</v>
      </c>
      <c r="J6" s="12" t="str">
        <f>IF(G6="","","Ch5_"&amp;TEXT(COUNT($F$2:F6),"000")&amp;"_"&amp;SUBSTITUTE(G6," ","-")&amp;"_"&amp;TEXT(F6,"0")&amp;".jpg")</f>
        <v>Ch5_005_Very-high_2232.jpg</v>
      </c>
    </row>
    <row r="7" spans="1:10" ht="12.75" customHeight="1" x14ac:dyDescent="0.25">
      <c r="A7" s="2"/>
      <c r="B7" s="2"/>
      <c r="C7" s="6">
        <v>6</v>
      </c>
      <c r="D7" s="9">
        <v>0.98370000000000002</v>
      </c>
      <c r="E7" s="9">
        <v>247.663249238795</v>
      </c>
      <c r="F7" s="11">
        <v>2517.67052189484</v>
      </c>
      <c r="G7" s="12" t="str">
        <f>IF(NOT(ISNUMBER(F7)),"",IF(F7&lt;Bands!$B$4,"Low",IF(F7&lt;Bands!$B$5,"Medium",IF(F7&lt;Bands!$B$6,"High","Very high"))))</f>
        <v>Very high</v>
      </c>
      <c r="H7" s="12" t="str">
        <f>IF(G7="","",IFERROR(INDEX(Bands!$D$3:$D$6,MATCH(G7,Bands!$A$3:$A$6,0)),""))</f>
        <v>Deep golden-brown to medium brown with a reddish tone; edges darkest, centre golden or light brown</v>
      </c>
      <c r="I7" s="12" t="str">
        <f>IF(G7="","",IFERROR(INDEX(Bands!$J$3:$J$6,MATCH(G7,Bands!$A$3:$A$6,0)),""))</f>
        <v>Not pale yellow, which would match a low value, or black and burnt, since very dark chips can have lower acrylamide.</v>
      </c>
      <c r="J7" s="12" t="str">
        <f>IF(G7="","","Ch5_"&amp;TEXT(COUNT($F$2:F7),"000")&amp;"_"&amp;SUBSTITUTE(G7," ","-")&amp;"_"&amp;TEXT(F7,"0")&amp;".jpg")</f>
        <v>Ch5_006_Very-high_2518.jpg</v>
      </c>
    </row>
    <row r="8" spans="1:10" ht="12.75" customHeight="1" x14ac:dyDescent="0.25">
      <c r="A8" s="2"/>
      <c r="B8" s="2"/>
      <c r="C8" s="6">
        <v>7</v>
      </c>
      <c r="D8" s="9">
        <v>0.9859</v>
      </c>
      <c r="E8" s="9">
        <v>219.802678162608</v>
      </c>
      <c r="F8" s="11">
        <v>2229.4621986267198</v>
      </c>
      <c r="G8" s="12" t="str">
        <f>IF(NOT(ISNUMBER(F8)),"",IF(F8&lt;Bands!$B$4,"Low",IF(F8&lt;Bands!$B$5,"Medium",IF(F8&lt;Bands!$B$6,"High","Very high"))))</f>
        <v>Very high</v>
      </c>
      <c r="H8" s="12" t="str">
        <f>IF(G8="","",IFERROR(INDEX(Bands!$D$3:$D$6,MATCH(G8,Bands!$A$3:$A$6,0)),""))</f>
        <v>Deep golden-brown to medium brown with a reddish tone; edges darkest, centre golden or light brown</v>
      </c>
      <c r="I8" s="12" t="str">
        <f>IF(G8="","",IFERROR(INDEX(Bands!$J$3:$J$6,MATCH(G8,Bands!$A$3:$A$6,0)),""))</f>
        <v>Not pale yellow, which would match a low value, or black and burnt, since very dark chips can have lower acrylamide.</v>
      </c>
      <c r="J8" s="12" t="str">
        <f>IF(G8="","","Ch5_"&amp;TEXT(COUNT($F$2:F8),"000")&amp;"_"&amp;SUBSTITUTE(G8," ","-")&amp;"_"&amp;TEXT(F8,"0")&amp;".jpg")</f>
        <v>Ch5_007_Very-high_2229.jpg</v>
      </c>
    </row>
    <row r="9" spans="1:10" ht="12.75" customHeight="1" x14ac:dyDescent="0.25">
      <c r="A9" s="2"/>
      <c r="B9" s="2"/>
      <c r="C9" s="6">
        <v>8</v>
      </c>
      <c r="D9" s="9">
        <v>1.0504</v>
      </c>
      <c r="E9" s="9">
        <v>204.96100097837601</v>
      </c>
      <c r="F9" s="11">
        <v>1951.2661936250599</v>
      </c>
      <c r="G9" s="12" t="str">
        <f>IF(NOT(ISNUMBER(F9)),"",IF(F9&lt;Bands!$B$4,"Low",IF(F9&lt;Bands!$B$5,"Medium",IF(F9&lt;Bands!$B$6,"High","Very high"))))</f>
        <v>High</v>
      </c>
      <c r="H9" s="12" t="str">
        <f>IF(G9="","",IFERROR(INDEX(Bands!$D$3:$D$6,MATCH(G9,Bands!$A$3:$A$6,0)),""))</f>
        <v>Golden-brown with a reddish tint, brown edges, somewhat uneven</v>
      </c>
      <c r="I9" s="12" t="str">
        <f>IF(G9="","",IFERROR(INDEX(Bands!$J$3:$J$6,MATCH(G9,Bands!$A$3:$A$6,0)),""))</f>
        <v>Not pale yellow, which would match a low value. Not black or burnt, since very dark chips can have lower acrylamide.</v>
      </c>
      <c r="J9" s="12" t="str">
        <f>IF(G9="","","Ch5_"&amp;TEXT(COUNT($F$2:F9),"000")&amp;"_"&amp;SUBSTITUTE(G9," ","-")&amp;"_"&amp;TEXT(F9,"0")&amp;".jpg")</f>
        <v>Ch5_008_High_1951.jpg</v>
      </c>
    </row>
    <row r="10" spans="1:10" ht="12.75" customHeight="1" x14ac:dyDescent="0.25">
      <c r="A10" s="2"/>
      <c r="B10" s="2"/>
      <c r="C10" s="6">
        <v>9</v>
      </c>
      <c r="D10" s="9">
        <v>1.014</v>
      </c>
      <c r="E10" s="9">
        <v>234.29207719668301</v>
      </c>
      <c r="F10" s="11">
        <v>2310.57275341897</v>
      </c>
      <c r="G10" s="12" t="str">
        <f>IF(NOT(ISNUMBER(F10)),"",IF(F10&lt;Bands!$B$4,"Low",IF(F10&lt;Bands!$B$5,"Medium",IF(F10&lt;Bands!$B$6,"High","Very high"))))</f>
        <v>Very high</v>
      </c>
      <c r="H10" s="12" t="str">
        <f>IF(G10="","",IFERROR(INDEX(Bands!$D$3:$D$6,MATCH(G10,Bands!$A$3:$A$6,0)),""))</f>
        <v>Deep golden-brown to medium brown with a reddish tone; edges darkest, centre golden or light brown</v>
      </c>
      <c r="I10" s="12" t="str">
        <f>IF(G10="","",IFERROR(INDEX(Bands!$J$3:$J$6,MATCH(G10,Bands!$A$3:$A$6,0)),""))</f>
        <v>Not pale yellow, which would match a low value, or black and burnt, since very dark chips can have lower acrylamide.</v>
      </c>
      <c r="J10" s="12" t="str">
        <f>IF(G10="","","Ch5_"&amp;TEXT(COUNT($F$2:F10),"000")&amp;"_"&amp;SUBSTITUTE(G10," ","-")&amp;"_"&amp;TEXT(F10,"0")&amp;".jpg")</f>
        <v>Ch5_009_Very-high_2311.jpg</v>
      </c>
    </row>
    <row r="11" spans="1:10" ht="12.75" customHeight="1" x14ac:dyDescent="0.25">
      <c r="A11" s="2"/>
      <c r="B11" s="7"/>
      <c r="D11" s="9"/>
      <c r="E11" s="9"/>
      <c r="F11" s="11"/>
    </row>
    <row r="12" spans="1:10" ht="12.75" customHeight="1" x14ac:dyDescent="0.25">
      <c r="A12" s="2"/>
      <c r="B12" s="2" t="s">
        <v>93</v>
      </c>
      <c r="C12" s="6">
        <v>1</v>
      </c>
      <c r="D12" s="9">
        <v>1.0388999999999999</v>
      </c>
      <c r="E12" s="9">
        <v>147.948613718736</v>
      </c>
      <c r="F12" s="11">
        <v>1424.0890722758299</v>
      </c>
      <c r="G12" s="12" t="str">
        <f>IF(NOT(ISNUMBER(F12)),"",IF(F12&lt;Bands!$B$4,"Low",IF(F12&lt;Bands!$B$5,"Medium",IF(F12&lt;Bands!$B$6,"High","Very high"))))</f>
        <v>High</v>
      </c>
      <c r="H12" s="12" t="str">
        <f>IF(G12="","",IFERROR(INDEX(Bands!$D$3:$D$6,MATCH(G12,Bands!$A$3:$A$6,0)),""))</f>
        <v>Golden-brown with a reddish tint, brown edges, somewhat uneven</v>
      </c>
      <c r="I12" s="12" t="str">
        <f>IF(G12="","",IFERROR(INDEX(Bands!$J$3:$J$6,MATCH(G12,Bands!$A$3:$A$6,0)),""))</f>
        <v>Not pale yellow, which would match a low value. Not black or burnt, since very dark chips can have lower acrylamide.</v>
      </c>
      <c r="J12" s="12" t="str">
        <f>IF(G12="","","Ch5_"&amp;TEXT(COUNT($F$2:F12),"000")&amp;"_"&amp;SUBSTITUTE(G12," ","-")&amp;"_"&amp;TEXT(F12,"0")&amp;".jpg")</f>
        <v>Ch5_010_High_1424.jpg</v>
      </c>
    </row>
    <row r="13" spans="1:10" ht="12.75" customHeight="1" x14ac:dyDescent="0.25">
      <c r="A13" s="2"/>
      <c r="B13" s="2"/>
      <c r="C13" s="6">
        <v>2</v>
      </c>
      <c r="D13" s="9">
        <v>1.0202</v>
      </c>
      <c r="E13" s="9">
        <v>111.89887848939701</v>
      </c>
      <c r="F13" s="11">
        <v>1096.8327630797601</v>
      </c>
      <c r="G13" s="12" t="str">
        <f>IF(NOT(ISNUMBER(F13)),"",IF(F13&lt;Bands!$B$4,"Low",IF(F13&lt;Bands!$B$5,"Medium",IF(F13&lt;Bands!$B$6,"High","Very high"))))</f>
        <v>High</v>
      </c>
      <c r="H13" s="12" t="str">
        <f>IF(G13="","",IFERROR(INDEX(Bands!$D$3:$D$6,MATCH(G13,Bands!$A$3:$A$6,0)),""))</f>
        <v>Golden-brown with a reddish tint, brown edges, somewhat uneven</v>
      </c>
      <c r="I13" s="12" t="str">
        <f>IF(G13="","",IFERROR(INDEX(Bands!$J$3:$J$6,MATCH(G13,Bands!$A$3:$A$6,0)),""))</f>
        <v>Not pale yellow, which would match a low value. Not black or burnt, since very dark chips can have lower acrylamide.</v>
      </c>
      <c r="J13" s="12" t="str">
        <f>IF(G13="","","Ch5_"&amp;TEXT(COUNT($F$2:F13),"000")&amp;"_"&amp;SUBSTITUTE(G13," ","-")&amp;"_"&amp;TEXT(F13,"0")&amp;".jpg")</f>
        <v>Ch5_011_High_1097.jpg</v>
      </c>
    </row>
    <row r="14" spans="1:10" ht="12.75" customHeight="1" x14ac:dyDescent="0.25">
      <c r="A14" s="2"/>
      <c r="B14" s="2"/>
      <c r="C14" s="6">
        <v>3</v>
      </c>
      <c r="D14" s="9">
        <v>0.95850000000000002</v>
      </c>
      <c r="E14" s="9">
        <v>152.42968623752199</v>
      </c>
      <c r="F14" s="11">
        <v>1590.2940661191701</v>
      </c>
      <c r="G14" s="12" t="str">
        <f>IF(NOT(ISNUMBER(F14)),"",IF(F14&lt;Bands!$B$4,"Low",IF(F14&lt;Bands!$B$5,"Medium",IF(F14&lt;Bands!$B$6,"High","Very high"))))</f>
        <v>High</v>
      </c>
      <c r="H14" s="12" t="str">
        <f>IF(G14="","",IFERROR(INDEX(Bands!$D$3:$D$6,MATCH(G14,Bands!$A$3:$A$6,0)),""))</f>
        <v>Golden-brown with a reddish tint, brown edges, somewhat uneven</v>
      </c>
      <c r="I14" s="12" t="str">
        <f>IF(G14="","",IFERROR(INDEX(Bands!$J$3:$J$6,MATCH(G14,Bands!$A$3:$A$6,0)),""))</f>
        <v>Not pale yellow, which would match a low value. Not black or burnt, since very dark chips can have lower acrylamide.</v>
      </c>
      <c r="J14" s="12" t="str">
        <f>IF(G14="","","Ch5_"&amp;TEXT(COUNT($F$2:F14),"000")&amp;"_"&amp;SUBSTITUTE(G14," ","-")&amp;"_"&amp;TEXT(F14,"0")&amp;".jpg")</f>
        <v>Ch5_012_High_1590.jpg</v>
      </c>
    </row>
    <row r="15" spans="1:10" ht="12.75" customHeight="1" x14ac:dyDescent="0.25">
      <c r="A15" s="2"/>
      <c r="B15" s="2"/>
      <c r="C15" s="6">
        <v>4</v>
      </c>
      <c r="D15" s="9">
        <v>0.97460000000000002</v>
      </c>
      <c r="E15" s="9">
        <v>147.30216823349599</v>
      </c>
      <c r="F15" s="11">
        <v>1511.4115353324</v>
      </c>
      <c r="G15" s="12" t="str">
        <f>IF(NOT(ISNUMBER(F15)),"",IF(F15&lt;Bands!$B$4,"Low",IF(F15&lt;Bands!$B$5,"Medium",IF(F15&lt;Bands!$B$6,"High","Very high"))))</f>
        <v>High</v>
      </c>
      <c r="H15" s="12" t="str">
        <f>IF(G15="","",IFERROR(INDEX(Bands!$D$3:$D$6,MATCH(G15,Bands!$A$3:$A$6,0)),""))</f>
        <v>Golden-brown with a reddish tint, brown edges, somewhat uneven</v>
      </c>
      <c r="I15" s="12" t="str">
        <f>IF(G15="","",IFERROR(INDEX(Bands!$J$3:$J$6,MATCH(G15,Bands!$A$3:$A$6,0)),""))</f>
        <v>Not pale yellow, which would match a low value. Not black or burnt, since very dark chips can have lower acrylamide.</v>
      </c>
      <c r="J15" s="12" t="str">
        <f>IF(G15="","","Ch5_"&amp;TEXT(COUNT($F$2:F15),"000")&amp;"_"&amp;SUBSTITUTE(G15," ","-")&amp;"_"&amp;TEXT(F15,"0")&amp;".jpg")</f>
        <v>Ch5_013_High_1511.jpg</v>
      </c>
    </row>
    <row r="16" spans="1:10" ht="12.75" customHeight="1" x14ac:dyDescent="0.25">
      <c r="A16" s="2"/>
      <c r="B16" s="2"/>
      <c r="C16" s="6">
        <v>5</v>
      </c>
      <c r="D16" s="9">
        <v>1.0185</v>
      </c>
      <c r="E16" s="9">
        <v>175.91098375834099</v>
      </c>
      <c r="F16" s="11">
        <v>1727.1574252169</v>
      </c>
      <c r="G16" s="12" t="str">
        <f>IF(NOT(ISNUMBER(F16)),"",IF(F16&lt;Bands!$B$4,"Low",IF(F16&lt;Bands!$B$5,"Medium",IF(F16&lt;Bands!$B$6,"High","Very high"))))</f>
        <v>High</v>
      </c>
      <c r="H16" s="12" t="str">
        <f>IF(G16="","",IFERROR(INDEX(Bands!$D$3:$D$6,MATCH(G16,Bands!$A$3:$A$6,0)),""))</f>
        <v>Golden-brown with a reddish tint, brown edges, somewhat uneven</v>
      </c>
      <c r="I16" s="12" t="str">
        <f>IF(G16="","",IFERROR(INDEX(Bands!$J$3:$J$6,MATCH(G16,Bands!$A$3:$A$6,0)),""))</f>
        <v>Not pale yellow, which would match a low value. Not black or burnt, since very dark chips can have lower acrylamide.</v>
      </c>
      <c r="J16" s="12" t="str">
        <f>IF(G16="","","Ch5_"&amp;TEXT(COUNT($F$2:F16),"000")&amp;"_"&amp;SUBSTITUTE(G16," ","-")&amp;"_"&amp;TEXT(F16,"0")&amp;".jpg")</f>
        <v>Ch5_014_High_1727.jpg</v>
      </c>
    </row>
    <row r="17" spans="1:10" ht="12.75" customHeight="1" x14ac:dyDescent="0.25">
      <c r="A17" s="2"/>
      <c r="B17" s="2"/>
      <c r="C17" s="6">
        <v>6</v>
      </c>
      <c r="D17" s="9">
        <v>0.97250000000000003</v>
      </c>
      <c r="E17" s="9">
        <v>181.103026632015</v>
      </c>
      <c r="F17" s="11">
        <v>1862.2419190952701</v>
      </c>
      <c r="G17" s="12" t="str">
        <f>IF(NOT(ISNUMBER(F17)),"",IF(F17&lt;Bands!$B$4,"Low",IF(F17&lt;Bands!$B$5,"Medium",IF(F17&lt;Bands!$B$6,"High","Very high"))))</f>
        <v>High</v>
      </c>
      <c r="H17" s="12" t="str">
        <f>IF(G17="","",IFERROR(INDEX(Bands!$D$3:$D$6,MATCH(G17,Bands!$A$3:$A$6,0)),""))</f>
        <v>Golden-brown with a reddish tint, brown edges, somewhat uneven</v>
      </c>
      <c r="I17" s="12" t="str">
        <f>IF(G17="","",IFERROR(INDEX(Bands!$J$3:$J$6,MATCH(G17,Bands!$A$3:$A$6,0)),""))</f>
        <v>Not pale yellow, which would match a low value. Not black or burnt, since very dark chips can have lower acrylamide.</v>
      </c>
      <c r="J17" s="12" t="str">
        <f>IF(G17="","","Ch5_"&amp;TEXT(COUNT($F$2:F17),"000")&amp;"_"&amp;SUBSTITUTE(G17," ","-")&amp;"_"&amp;TEXT(F17,"0")&amp;".jpg")</f>
        <v>Ch5_015_High_1862.jpg</v>
      </c>
    </row>
    <row r="18" spans="1:10" ht="12.75" customHeight="1" x14ac:dyDescent="0.25">
      <c r="A18" s="2"/>
      <c r="B18" s="2"/>
      <c r="C18" s="6">
        <v>7</v>
      </c>
      <c r="D18" s="9">
        <v>0.98570000000000002</v>
      </c>
      <c r="E18" s="9">
        <v>132.57001971853799</v>
      </c>
      <c r="F18" s="11">
        <v>1344.93273530017</v>
      </c>
      <c r="G18" s="12" t="str">
        <f>IF(NOT(ISNUMBER(F18)),"",IF(F18&lt;Bands!$B$4,"Low",IF(F18&lt;Bands!$B$5,"Medium",IF(F18&lt;Bands!$B$6,"High","Very high"))))</f>
        <v>High</v>
      </c>
      <c r="H18" s="12" t="str">
        <f>IF(G18="","",IFERROR(INDEX(Bands!$D$3:$D$6,MATCH(G18,Bands!$A$3:$A$6,0)),""))</f>
        <v>Golden-brown with a reddish tint, brown edges, somewhat uneven</v>
      </c>
      <c r="I18" s="12" t="str">
        <f>IF(G18="","",IFERROR(INDEX(Bands!$J$3:$J$6,MATCH(G18,Bands!$A$3:$A$6,0)),""))</f>
        <v>Not pale yellow, which would match a low value. Not black or burnt, since very dark chips can have lower acrylamide.</v>
      </c>
      <c r="J18" s="12" t="str">
        <f>IF(G18="","","Ch5_"&amp;TEXT(COUNT($F$2:F18),"000")&amp;"_"&amp;SUBSTITUTE(G18," ","-")&amp;"_"&amp;TEXT(F18,"0")&amp;".jpg")</f>
        <v>Ch5_016_High_1345.jpg</v>
      </c>
    </row>
    <row r="19" spans="1:10" ht="12.75" customHeight="1" x14ac:dyDescent="0.25">
      <c r="A19" s="2"/>
      <c r="B19" s="2"/>
      <c r="C19" s="6">
        <v>8</v>
      </c>
      <c r="D19" s="9">
        <v>1.0537000000000001</v>
      </c>
      <c r="E19" s="9">
        <v>123.02764884713</v>
      </c>
      <c r="F19" s="11">
        <v>1167.5775728113299</v>
      </c>
      <c r="G19" s="12" t="str">
        <f>IF(NOT(ISNUMBER(F19)),"",IF(F19&lt;Bands!$B$4,"Low",IF(F19&lt;Bands!$B$5,"Medium",IF(F19&lt;Bands!$B$6,"High","Very high"))))</f>
        <v>High</v>
      </c>
      <c r="H19" s="12" t="str">
        <f>IF(G19="","",IFERROR(INDEX(Bands!$D$3:$D$6,MATCH(G19,Bands!$A$3:$A$6,0)),""))</f>
        <v>Golden-brown with a reddish tint, brown edges, somewhat uneven</v>
      </c>
      <c r="I19" s="12" t="str">
        <f>IF(G19="","",IFERROR(INDEX(Bands!$J$3:$J$6,MATCH(G19,Bands!$A$3:$A$6,0)),""))</f>
        <v>Not pale yellow, which would match a low value. Not black or burnt, since very dark chips can have lower acrylamide.</v>
      </c>
      <c r="J19" s="12" t="str">
        <f>IF(G19="","","Ch5_"&amp;TEXT(COUNT($F$2:F19),"000")&amp;"_"&amp;SUBSTITUTE(G19," ","-")&amp;"_"&amp;TEXT(F19,"0")&amp;".jpg")</f>
        <v>Ch5_017_High_1168.jpg</v>
      </c>
    </row>
    <row r="20" spans="1:10" ht="12.75" customHeight="1" x14ac:dyDescent="0.25">
      <c r="A20" s="2"/>
      <c r="B20" s="2"/>
      <c r="C20" s="6">
        <v>9</v>
      </c>
      <c r="D20" s="9">
        <v>1.0199</v>
      </c>
      <c r="E20" s="9">
        <v>280.43725319741202</v>
      </c>
      <c r="F20" s="11">
        <v>2749.6544092304298</v>
      </c>
      <c r="G20" s="12" t="str">
        <f>IF(NOT(ISNUMBER(F20)),"",IF(F20&lt;Bands!$B$4,"Low",IF(F20&lt;Bands!$B$5,"Medium",IF(F20&lt;Bands!$B$6,"High","Very high"))))</f>
        <v>Very high</v>
      </c>
      <c r="H20" s="12" t="str">
        <f>IF(G20="","",IFERROR(INDEX(Bands!$D$3:$D$6,MATCH(G20,Bands!$A$3:$A$6,0)),""))</f>
        <v>Deep golden-brown to medium brown with a reddish tone; edges darkest, centre golden or light brown</v>
      </c>
      <c r="I20" s="12" t="str">
        <f>IF(G20="","",IFERROR(INDEX(Bands!$J$3:$J$6,MATCH(G20,Bands!$A$3:$A$6,0)),""))</f>
        <v>Not pale yellow, which would match a low value, or black and burnt, since very dark chips can have lower acrylamide.</v>
      </c>
      <c r="J20" s="12" t="str">
        <f>IF(G20="","","Ch5_"&amp;TEXT(COUNT($F$2:F20),"000")&amp;"_"&amp;SUBSTITUTE(G20," ","-")&amp;"_"&amp;TEXT(F20,"0")&amp;".jpg")</f>
        <v>Ch5_018_Very-high_2750.jpg</v>
      </c>
    </row>
    <row r="21" spans="1:10" ht="12.75" customHeight="1" x14ac:dyDescent="0.25">
      <c r="A21" s="7"/>
      <c r="B21" s="7"/>
      <c r="D21" s="9"/>
      <c r="E21" s="9"/>
      <c r="F21" s="11"/>
    </row>
    <row r="22" spans="1:10" ht="12.75" customHeight="1" x14ac:dyDescent="0.25">
      <c r="A22" s="2" t="s">
        <v>94</v>
      </c>
      <c r="B22" s="2" t="s">
        <v>92</v>
      </c>
      <c r="C22" s="6">
        <v>1</v>
      </c>
      <c r="D22" s="9">
        <v>1</v>
      </c>
      <c r="E22" s="9">
        <v>76.085274027485994</v>
      </c>
      <c r="F22" s="11">
        <v>760.85274027486003</v>
      </c>
      <c r="G22" s="12" t="str">
        <f>IF(NOT(ISNUMBER(F22)),"",IF(F22&lt;Bands!$B$4,"Low",IF(F22&lt;Bands!$B$5,"Medium",IF(F22&lt;Bands!$B$6,"High","Very high"))))</f>
        <v>Medium</v>
      </c>
      <c r="H22" s="12" t="str">
        <f>IF(G22="","",IFERROR(INDEX(Bands!$D$3:$D$6,MATCH(G22,Bands!$A$3:$A$6,0)),""))</f>
        <v>Golden yellow with light brown at some edges or small spots</v>
      </c>
      <c r="I22" s="12" t="str">
        <f>IF(G22="","",IFERROR(INDEX(Bands!$J$3:$J$6,MATCH(G22,Bands!$A$3:$A$6,0)),""))</f>
        <v>Not pale yellow (matches a low value) and not deep reddish-brown (matches a high value). Avoid black or burnt chips.</v>
      </c>
      <c r="J22" s="12" t="str">
        <f>IF(G22="","","Ch5_"&amp;TEXT(COUNT($F$2:F22),"000")&amp;"_"&amp;SUBSTITUTE(G22," ","-")&amp;"_"&amp;TEXT(F22,"0")&amp;".jpg")</f>
        <v>Ch5_019_Medium_761.jpg</v>
      </c>
    </row>
    <row r="23" spans="1:10" ht="12.75" customHeight="1" x14ac:dyDescent="0.25">
      <c r="A23" s="2"/>
      <c r="B23" s="2"/>
      <c r="C23" s="6">
        <v>2</v>
      </c>
      <c r="D23" s="9">
        <v>1</v>
      </c>
      <c r="E23" s="9">
        <v>71.229385926556404</v>
      </c>
      <c r="F23" s="11">
        <v>712.29385926556404</v>
      </c>
      <c r="G23" s="12" t="str">
        <f>IF(NOT(ISNUMBER(F23)),"",IF(F23&lt;Bands!$B$4,"Low",IF(F23&lt;Bands!$B$5,"Medium",IF(F23&lt;Bands!$B$6,"High","Very high"))))</f>
        <v>Medium</v>
      </c>
      <c r="H23" s="12" t="str">
        <f>IF(G23="","",IFERROR(INDEX(Bands!$D$3:$D$6,MATCH(G23,Bands!$A$3:$A$6,0)),""))</f>
        <v>Golden yellow with light brown at some edges or small spots</v>
      </c>
      <c r="I23" s="12" t="str">
        <f>IF(G23="","",IFERROR(INDEX(Bands!$J$3:$J$6,MATCH(G23,Bands!$A$3:$A$6,0)),""))</f>
        <v>Not pale yellow (matches a low value) and not deep reddish-brown (matches a high value). Avoid black or burnt chips.</v>
      </c>
      <c r="J23" s="12" t="str">
        <f>IF(G23="","","Ch5_"&amp;TEXT(COUNT($F$2:F23),"000")&amp;"_"&amp;SUBSTITUTE(G23," ","-")&amp;"_"&amp;TEXT(F23,"0")&amp;".jpg")</f>
        <v>Ch5_020_Medium_712.jpg</v>
      </c>
    </row>
    <row r="24" spans="1:10" ht="12.75" customHeight="1" x14ac:dyDescent="0.25">
      <c r="A24" s="2"/>
      <c r="B24" s="2"/>
      <c r="C24" s="6">
        <v>3</v>
      </c>
      <c r="D24" s="9">
        <v>1</v>
      </c>
      <c r="E24" s="9">
        <v>78.815062707820701</v>
      </c>
      <c r="F24" s="11">
        <v>788.15062707820698</v>
      </c>
      <c r="G24" s="12" t="str">
        <f>IF(NOT(ISNUMBER(F24)),"",IF(F24&lt;Bands!$B$4,"Low",IF(F24&lt;Bands!$B$5,"Medium",IF(F24&lt;Bands!$B$6,"High","Very high"))))</f>
        <v>Medium</v>
      </c>
      <c r="H24" s="12" t="str">
        <f>IF(G24="","",IFERROR(INDEX(Bands!$D$3:$D$6,MATCH(G24,Bands!$A$3:$A$6,0)),""))</f>
        <v>Golden yellow with light brown at some edges or small spots</v>
      </c>
      <c r="I24" s="12" t="str">
        <f>IF(G24="","",IFERROR(INDEX(Bands!$J$3:$J$6,MATCH(G24,Bands!$A$3:$A$6,0)),""))</f>
        <v>Not pale yellow (matches a low value) and not deep reddish-brown (matches a high value). Avoid black or burnt chips.</v>
      </c>
      <c r="J24" s="12" t="str">
        <f>IF(G24="","","Ch5_"&amp;TEXT(COUNT($F$2:F24),"000")&amp;"_"&amp;SUBSTITUTE(G24," ","-")&amp;"_"&amp;TEXT(F24,"0")&amp;".jpg")</f>
        <v>Ch5_021_Medium_788.jpg</v>
      </c>
    </row>
    <row r="25" spans="1:10" ht="12.75" customHeight="1" x14ac:dyDescent="0.25">
      <c r="A25" s="2"/>
      <c r="E25" s="9"/>
    </row>
    <row r="26" spans="1:10" ht="12.75" customHeight="1" x14ac:dyDescent="0.25">
      <c r="A26" s="2"/>
      <c r="B26" s="2" t="s">
        <v>95</v>
      </c>
      <c r="C26" s="6">
        <v>1</v>
      </c>
      <c r="D26" s="9">
        <v>1</v>
      </c>
      <c r="E26" s="9">
        <v>93.026795294280106</v>
      </c>
      <c r="F26" s="11">
        <v>930.267952942801</v>
      </c>
      <c r="G26" s="12" t="str">
        <f>IF(NOT(ISNUMBER(F26)),"",IF(F26&lt;Bands!$B$4,"Low",IF(F26&lt;Bands!$B$5,"Medium",IF(F26&lt;Bands!$B$6,"High","Very high"))))</f>
        <v>Medium</v>
      </c>
      <c r="H26" s="12" t="str">
        <f>IF(G26="","",IFERROR(INDEX(Bands!$D$3:$D$6,MATCH(G26,Bands!$A$3:$A$6,0)),""))</f>
        <v>Golden yellow with light brown at some edges or small spots</v>
      </c>
      <c r="I26" s="12" t="str">
        <f>IF(G26="","",IFERROR(INDEX(Bands!$J$3:$J$6,MATCH(G26,Bands!$A$3:$A$6,0)),""))</f>
        <v>Not pale yellow (matches a low value) and not deep reddish-brown (matches a high value). Avoid black or burnt chips.</v>
      </c>
      <c r="J26" s="12" t="str">
        <f>IF(G26="","","Ch5_"&amp;TEXT(COUNT($F$2:F26),"000")&amp;"_"&amp;SUBSTITUTE(G26," ","-")&amp;"_"&amp;TEXT(F26,"0")&amp;".jpg")</f>
        <v>Ch5_022_Medium_930.jpg</v>
      </c>
    </row>
    <row r="27" spans="1:10" ht="12.75" customHeight="1" x14ac:dyDescent="0.25">
      <c r="A27" s="2"/>
      <c r="B27" s="2"/>
      <c r="C27" s="6">
        <v>2</v>
      </c>
      <c r="D27" s="9">
        <v>1</v>
      </c>
      <c r="E27" s="9">
        <v>94.355005373069702</v>
      </c>
      <c r="F27" s="11">
        <v>943.55005373069696</v>
      </c>
      <c r="G27" s="12" t="str">
        <f>IF(NOT(ISNUMBER(F27)),"",IF(F27&lt;Bands!$B$4,"Low",IF(F27&lt;Bands!$B$5,"Medium",IF(F27&lt;Bands!$B$6,"High","Very high"))))</f>
        <v>Medium</v>
      </c>
      <c r="H27" s="12" t="str">
        <f>IF(G27="","",IFERROR(INDEX(Bands!$D$3:$D$6,MATCH(G27,Bands!$A$3:$A$6,0)),""))</f>
        <v>Golden yellow with light brown at some edges or small spots</v>
      </c>
      <c r="I27" s="12" t="str">
        <f>IF(G27="","",IFERROR(INDEX(Bands!$J$3:$J$6,MATCH(G27,Bands!$A$3:$A$6,0)),""))</f>
        <v>Not pale yellow (matches a low value) and not deep reddish-brown (matches a high value). Avoid black or burnt chips.</v>
      </c>
      <c r="J27" s="12" t="str">
        <f>IF(G27="","","Ch5_"&amp;TEXT(COUNT($F$2:F27),"000")&amp;"_"&amp;SUBSTITUTE(G27," ","-")&amp;"_"&amp;TEXT(F27,"0")&amp;".jpg")</f>
        <v>Ch5_023_Medium_944.jpg</v>
      </c>
    </row>
    <row r="28" spans="1:10" ht="12.75" customHeight="1" x14ac:dyDescent="0.25">
      <c r="A28" s="2"/>
      <c r="B28" s="2"/>
      <c r="C28" s="6">
        <v>3</v>
      </c>
      <c r="D28" s="9">
        <v>1</v>
      </c>
      <c r="E28" s="9">
        <v>115.580162525571</v>
      </c>
      <c r="F28" s="11">
        <v>1155.80162525571</v>
      </c>
      <c r="G28" s="12" t="str">
        <f>IF(NOT(ISNUMBER(F28)),"",IF(F28&lt;Bands!$B$4,"Low",IF(F28&lt;Bands!$B$5,"Medium",IF(F28&lt;Bands!$B$6,"High","Very high"))))</f>
        <v>High</v>
      </c>
      <c r="H28" s="12" t="str">
        <f>IF(G28="","",IFERROR(INDEX(Bands!$D$3:$D$6,MATCH(G28,Bands!$A$3:$A$6,0)),""))</f>
        <v>Golden-brown with a reddish tint, brown edges, somewhat uneven</v>
      </c>
      <c r="I28" s="12" t="str">
        <f>IF(G28="","",IFERROR(INDEX(Bands!$J$3:$J$6,MATCH(G28,Bands!$A$3:$A$6,0)),""))</f>
        <v>Not pale yellow, which would match a low value. Not black or burnt, since very dark chips can have lower acrylamide.</v>
      </c>
      <c r="J28" s="12" t="str">
        <f>IF(G28="","","Ch5_"&amp;TEXT(COUNT($F$2:F28),"000")&amp;"_"&amp;SUBSTITUTE(G28," ","-")&amp;"_"&amp;TEXT(F28,"0")&amp;".jpg")</f>
        <v>Ch5_024_High_1156.jpg</v>
      </c>
    </row>
    <row r="29" spans="1:10" ht="12.75" customHeight="1" x14ac:dyDescent="0.25">
      <c r="A29" s="2"/>
      <c r="E29" s="9"/>
    </row>
    <row r="30" spans="1:10" ht="12.75" customHeight="1" x14ac:dyDescent="0.25">
      <c r="A30" s="2"/>
      <c r="B30" s="2" t="s">
        <v>96</v>
      </c>
      <c r="C30" s="6">
        <v>1</v>
      </c>
      <c r="D30" s="9">
        <v>1</v>
      </c>
      <c r="E30" s="9">
        <v>74.154971104141595</v>
      </c>
      <c r="F30" s="11">
        <v>741.549711041416</v>
      </c>
      <c r="G30" s="12" t="str">
        <f>IF(NOT(ISNUMBER(F30)),"",IF(F30&lt;Bands!$B$4,"Low",IF(F30&lt;Bands!$B$5,"Medium",IF(F30&lt;Bands!$B$6,"High","Very high"))))</f>
        <v>Medium</v>
      </c>
      <c r="H30" s="12" t="str">
        <f>IF(G30="","",IFERROR(INDEX(Bands!$D$3:$D$6,MATCH(G30,Bands!$A$3:$A$6,0)),""))</f>
        <v>Golden yellow with light brown at some edges or small spots</v>
      </c>
      <c r="I30" s="12" t="str">
        <f>IF(G30="","",IFERROR(INDEX(Bands!$J$3:$J$6,MATCH(G30,Bands!$A$3:$A$6,0)),""))</f>
        <v>Not pale yellow (matches a low value) and not deep reddish-brown (matches a high value). Avoid black or burnt chips.</v>
      </c>
      <c r="J30" s="12" t="str">
        <f>IF(G30="","","Ch5_"&amp;TEXT(COUNT($F$2:F30),"000")&amp;"_"&amp;SUBSTITUTE(G30," ","-")&amp;"_"&amp;TEXT(F30,"0")&amp;".jpg")</f>
        <v>Ch5_025_Medium_742.jpg</v>
      </c>
    </row>
    <row r="31" spans="1:10" ht="12.75" customHeight="1" x14ac:dyDescent="0.25">
      <c r="A31" s="2"/>
      <c r="B31" s="2"/>
      <c r="C31" s="6">
        <v>2</v>
      </c>
      <c r="D31" s="9">
        <v>1</v>
      </c>
      <c r="E31" s="9">
        <v>111.774017955697</v>
      </c>
      <c r="F31" s="11">
        <v>1117.7401795569699</v>
      </c>
      <c r="G31" s="12" t="str">
        <f>IF(NOT(ISNUMBER(F31)),"",IF(F31&lt;Bands!$B$4,"Low",IF(F31&lt;Bands!$B$5,"Medium",IF(F31&lt;Bands!$B$6,"High","Very high"))))</f>
        <v>High</v>
      </c>
      <c r="H31" s="12" t="str">
        <f>IF(G31="","",IFERROR(INDEX(Bands!$D$3:$D$6,MATCH(G31,Bands!$A$3:$A$6,0)),""))</f>
        <v>Golden-brown with a reddish tint, brown edges, somewhat uneven</v>
      </c>
      <c r="I31" s="12" t="str">
        <f>IF(G31="","",IFERROR(INDEX(Bands!$J$3:$J$6,MATCH(G31,Bands!$A$3:$A$6,0)),""))</f>
        <v>Not pale yellow, which would match a low value. Not black or burnt, since very dark chips can have lower acrylamide.</v>
      </c>
      <c r="J31" s="12" t="str">
        <f>IF(G31="","","Ch5_"&amp;TEXT(COUNT($F$2:F31),"000")&amp;"_"&amp;SUBSTITUTE(G31," ","-")&amp;"_"&amp;TEXT(F31,"0")&amp;".jpg")</f>
        <v>Ch5_026_High_1118.jpg</v>
      </c>
    </row>
    <row r="32" spans="1:10" ht="12.75" customHeight="1" x14ac:dyDescent="0.25">
      <c r="A32" s="2"/>
      <c r="B32" s="2"/>
      <c r="C32" s="6">
        <v>3</v>
      </c>
      <c r="D32" s="9">
        <v>1</v>
      </c>
      <c r="E32" s="9">
        <v>95.707021416724601</v>
      </c>
      <c r="F32" s="11">
        <v>957.07021416724604</v>
      </c>
      <c r="G32" s="12" t="str">
        <f>IF(NOT(ISNUMBER(F32)),"",IF(F32&lt;Bands!$B$4,"Low",IF(F32&lt;Bands!$B$5,"Medium",IF(F32&lt;Bands!$B$6,"High","Very high"))))</f>
        <v>Medium</v>
      </c>
      <c r="H32" s="12" t="str">
        <f>IF(G32="","",IFERROR(INDEX(Bands!$D$3:$D$6,MATCH(G32,Bands!$A$3:$A$6,0)),""))</f>
        <v>Golden yellow with light brown at some edges or small spots</v>
      </c>
      <c r="I32" s="12" t="str">
        <f>IF(G32="","",IFERROR(INDEX(Bands!$J$3:$J$6,MATCH(G32,Bands!$A$3:$A$6,0)),""))</f>
        <v>Not pale yellow (matches a low value) and not deep reddish-brown (matches a high value). Avoid black or burnt chips.</v>
      </c>
      <c r="J32" s="12" t="str">
        <f>IF(G32="","","Ch5_"&amp;TEXT(COUNT($F$2:F32),"000")&amp;"_"&amp;SUBSTITUTE(G32," ","-")&amp;"_"&amp;TEXT(F32,"0")&amp;".jpg")</f>
        <v>Ch5_027_Medium_957.jpg</v>
      </c>
    </row>
    <row r="33" spans="1:10" ht="12.75" customHeight="1" x14ac:dyDescent="0.25">
      <c r="A33" s="2"/>
      <c r="E33" s="9"/>
    </row>
    <row r="34" spans="1:10" ht="12.75" customHeight="1" x14ac:dyDescent="0.25">
      <c r="A34" s="2"/>
      <c r="B34" s="2" t="s">
        <v>97</v>
      </c>
      <c r="C34" s="6">
        <v>1</v>
      </c>
      <c r="D34" s="9">
        <v>1</v>
      </c>
      <c r="E34" s="9">
        <v>76.216312698426094</v>
      </c>
      <c r="F34" s="11">
        <v>762.163126984261</v>
      </c>
      <c r="G34" s="12" t="str">
        <f>IF(NOT(ISNUMBER(F34)),"",IF(F34&lt;Bands!$B$4,"Low",IF(F34&lt;Bands!$B$5,"Medium",IF(F34&lt;Bands!$B$6,"High","Very high"))))</f>
        <v>Medium</v>
      </c>
      <c r="H34" s="12" t="str">
        <f>IF(G34="","",IFERROR(INDEX(Bands!$D$3:$D$6,MATCH(G34,Bands!$A$3:$A$6,0)),""))</f>
        <v>Golden yellow with light brown at some edges or small spots</v>
      </c>
      <c r="I34" s="12" t="str">
        <f>IF(G34="","",IFERROR(INDEX(Bands!$J$3:$J$6,MATCH(G34,Bands!$A$3:$A$6,0)),""))</f>
        <v>Not pale yellow (matches a low value) and not deep reddish-brown (matches a high value). Avoid black or burnt chips.</v>
      </c>
      <c r="J34" s="12" t="str">
        <f>IF(G34="","","Ch5_"&amp;TEXT(COUNT($F$2:F34),"000")&amp;"_"&amp;SUBSTITUTE(G34," ","-")&amp;"_"&amp;TEXT(F34,"0")&amp;".jpg")</f>
        <v>Ch5_028_Medium_762.jpg</v>
      </c>
    </row>
    <row r="35" spans="1:10" ht="12.75" customHeight="1" x14ac:dyDescent="0.25">
      <c r="A35" s="2"/>
      <c r="B35" s="2"/>
      <c r="C35" s="6">
        <v>2</v>
      </c>
      <c r="D35" s="9">
        <v>1</v>
      </c>
      <c r="E35" s="9">
        <v>110.53451571551</v>
      </c>
      <c r="F35" s="11">
        <v>1105.3451571551</v>
      </c>
      <c r="G35" s="12" t="str">
        <f>IF(NOT(ISNUMBER(F35)),"",IF(F35&lt;Bands!$B$4,"Low",IF(F35&lt;Bands!$B$5,"Medium",IF(F35&lt;Bands!$B$6,"High","Very high"))))</f>
        <v>High</v>
      </c>
      <c r="H35" s="12" t="str">
        <f>IF(G35="","",IFERROR(INDEX(Bands!$D$3:$D$6,MATCH(G35,Bands!$A$3:$A$6,0)),""))</f>
        <v>Golden-brown with a reddish tint, brown edges, somewhat uneven</v>
      </c>
      <c r="I35" s="12" t="str">
        <f>IF(G35="","",IFERROR(INDEX(Bands!$J$3:$J$6,MATCH(G35,Bands!$A$3:$A$6,0)),""))</f>
        <v>Not pale yellow, which would match a low value. Not black or burnt, since very dark chips can have lower acrylamide.</v>
      </c>
      <c r="J35" s="12" t="str">
        <f>IF(G35="","","Ch5_"&amp;TEXT(COUNT($F$2:F35),"000")&amp;"_"&amp;SUBSTITUTE(G35," ","-")&amp;"_"&amp;TEXT(F35,"0")&amp;".jpg")</f>
        <v>Ch5_029_High_1105.jpg</v>
      </c>
    </row>
    <row r="36" spans="1:10" ht="12.75" customHeight="1" x14ac:dyDescent="0.25">
      <c r="A36" s="2"/>
      <c r="B36" s="2"/>
      <c r="C36" s="6">
        <v>3</v>
      </c>
      <c r="D36" s="9">
        <v>1</v>
      </c>
      <c r="E36" s="9">
        <v>120.849717941999</v>
      </c>
      <c r="F36" s="11">
        <v>1208.4971794199901</v>
      </c>
      <c r="G36" s="12" t="str">
        <f>IF(NOT(ISNUMBER(F36)),"",IF(F36&lt;Bands!$B$4,"Low",IF(F36&lt;Bands!$B$5,"Medium",IF(F36&lt;Bands!$B$6,"High","Very high"))))</f>
        <v>High</v>
      </c>
      <c r="H36" s="12" t="str">
        <f>IF(G36="","",IFERROR(INDEX(Bands!$D$3:$D$6,MATCH(G36,Bands!$A$3:$A$6,0)),""))</f>
        <v>Golden-brown with a reddish tint, brown edges, somewhat uneven</v>
      </c>
      <c r="I36" s="12" t="str">
        <f>IF(G36="","",IFERROR(INDEX(Bands!$J$3:$J$6,MATCH(G36,Bands!$A$3:$A$6,0)),""))</f>
        <v>Not pale yellow, which would match a low value. Not black or burnt, since very dark chips can have lower acrylamide.</v>
      </c>
      <c r="J36" s="12" t="str">
        <f>IF(G36="","","Ch5_"&amp;TEXT(COUNT($F$2:F36),"000")&amp;"_"&amp;SUBSTITUTE(G36," ","-")&amp;"_"&amp;TEXT(F36,"0")&amp;".jpg")</f>
        <v>Ch5_030_High_1208.jpg</v>
      </c>
    </row>
    <row r="37" spans="1:10" ht="12.75" customHeight="1" x14ac:dyDescent="0.25">
      <c r="A37" s="13"/>
    </row>
    <row r="38" spans="1:10" ht="12.75" customHeight="1" x14ac:dyDescent="0.25">
      <c r="A38" s="2" t="s">
        <v>98</v>
      </c>
      <c r="B38" s="2" t="s">
        <v>92</v>
      </c>
      <c r="C38" s="6">
        <v>1</v>
      </c>
      <c r="D38" s="9">
        <v>1</v>
      </c>
      <c r="E38" s="14">
        <v>75.8</v>
      </c>
      <c r="F38" s="3">
        <v>758</v>
      </c>
      <c r="G38" s="12" t="str">
        <f>IF(NOT(ISNUMBER(F38)),"",IF(F38&lt;Bands!$B$4,"Low",IF(F38&lt;Bands!$B$5,"Medium",IF(F38&lt;Bands!$B$6,"High","Very high"))))</f>
        <v>Medium</v>
      </c>
      <c r="H38" s="12" t="str">
        <f>IF(G38="","",IFERROR(INDEX(Bands!$D$3:$D$6,MATCH(G38,Bands!$A$3:$A$6,0)),""))</f>
        <v>Golden yellow with light brown at some edges or small spots</v>
      </c>
      <c r="I38" s="12" t="str">
        <f>IF(G38="","",IFERROR(INDEX(Bands!$J$3:$J$6,MATCH(G38,Bands!$A$3:$A$6,0)),""))</f>
        <v>Not pale yellow (matches a low value) and not deep reddish-brown (matches a high value). Avoid black or burnt chips.</v>
      </c>
      <c r="J38" s="12" t="str">
        <f>IF(G38="","","Ch5_"&amp;TEXT(COUNT($F$2:F38),"000")&amp;"_"&amp;SUBSTITUTE(G38," ","-")&amp;"_"&amp;TEXT(F38,"0")&amp;".jpg")</f>
        <v>Ch5_031_Medium_758.jpg</v>
      </c>
    </row>
    <row r="39" spans="1:10" ht="12.75" customHeight="1" x14ac:dyDescent="0.25">
      <c r="A39" s="2"/>
      <c r="B39" s="2"/>
      <c r="C39" s="6">
        <v>2</v>
      </c>
      <c r="D39" s="9">
        <v>1</v>
      </c>
      <c r="E39" s="14">
        <v>73.3</v>
      </c>
      <c r="F39" s="3">
        <v>733</v>
      </c>
      <c r="G39" s="12" t="str">
        <f>IF(NOT(ISNUMBER(F39)),"",IF(F39&lt;Bands!$B$4,"Low",IF(F39&lt;Bands!$B$5,"Medium",IF(F39&lt;Bands!$B$6,"High","Very high"))))</f>
        <v>Medium</v>
      </c>
      <c r="H39" s="12" t="str">
        <f>IF(G39="","",IFERROR(INDEX(Bands!$D$3:$D$6,MATCH(G39,Bands!$A$3:$A$6,0)),""))</f>
        <v>Golden yellow with light brown at some edges or small spots</v>
      </c>
      <c r="I39" s="12" t="str">
        <f>IF(G39="","",IFERROR(INDEX(Bands!$J$3:$J$6,MATCH(G39,Bands!$A$3:$A$6,0)),""))</f>
        <v>Not pale yellow (matches a low value) and not deep reddish-brown (matches a high value). Avoid black or burnt chips.</v>
      </c>
      <c r="J39" s="12" t="str">
        <f>IF(G39="","","Ch5_"&amp;TEXT(COUNT($F$2:F39),"000")&amp;"_"&amp;SUBSTITUTE(G39," ","-")&amp;"_"&amp;TEXT(F39,"0")&amp;".jpg")</f>
        <v>Ch5_032_Medium_733.jpg</v>
      </c>
    </row>
    <row r="40" spans="1:10" ht="12.75" customHeight="1" x14ac:dyDescent="0.25">
      <c r="A40" s="2"/>
      <c r="B40" s="2"/>
      <c r="C40" s="6">
        <v>3</v>
      </c>
      <c r="D40" s="9">
        <v>1</v>
      </c>
      <c r="E40" s="14">
        <v>59.3</v>
      </c>
      <c r="F40" s="3">
        <v>593</v>
      </c>
      <c r="G40" s="12" t="str">
        <f>IF(NOT(ISNUMBER(F40)),"",IF(F40&lt;Bands!$B$4,"Low",IF(F40&lt;Bands!$B$5,"Medium",IF(F40&lt;Bands!$B$6,"High","Very high"))))</f>
        <v>Medium</v>
      </c>
      <c r="H40" s="12" t="str">
        <f>IF(G40="","",IFERROR(INDEX(Bands!$D$3:$D$6,MATCH(G40,Bands!$A$3:$A$6,0)),""))</f>
        <v>Golden yellow with light brown at some edges or small spots</v>
      </c>
      <c r="I40" s="12" t="str">
        <f>IF(G40="","",IFERROR(INDEX(Bands!$J$3:$J$6,MATCH(G40,Bands!$A$3:$A$6,0)),""))</f>
        <v>Not pale yellow (matches a low value) and not deep reddish-brown (matches a high value). Avoid black or burnt chips.</v>
      </c>
      <c r="J40" s="12" t="str">
        <f>IF(G40="","","Ch5_"&amp;TEXT(COUNT($F$2:F40),"000")&amp;"_"&amp;SUBSTITUTE(G40," ","-")&amp;"_"&amp;TEXT(F40,"0")&amp;".jpg")</f>
        <v>Ch5_033_Medium_593.jpg</v>
      </c>
    </row>
    <row r="41" spans="1:10" ht="12.75" customHeight="1" x14ac:dyDescent="0.25">
      <c r="A41" s="2"/>
      <c r="E41" s="14"/>
    </row>
    <row r="42" spans="1:10" ht="12.75" customHeight="1" x14ac:dyDescent="0.25">
      <c r="A42" s="2"/>
      <c r="B42" s="2" t="s">
        <v>95</v>
      </c>
      <c r="C42" s="6">
        <v>1</v>
      </c>
      <c r="D42" s="9">
        <v>1</v>
      </c>
      <c r="E42" s="14">
        <v>56.9</v>
      </c>
      <c r="F42" s="3">
        <v>569</v>
      </c>
      <c r="G42" s="12" t="str">
        <f>IF(NOT(ISNUMBER(F42)),"",IF(F42&lt;Bands!$B$4,"Low",IF(F42&lt;Bands!$B$5,"Medium",IF(F42&lt;Bands!$B$6,"High","Very high"))))</f>
        <v>Medium</v>
      </c>
      <c r="H42" s="12" t="str">
        <f>IF(G42="","",IFERROR(INDEX(Bands!$D$3:$D$6,MATCH(G42,Bands!$A$3:$A$6,0)),""))</f>
        <v>Golden yellow with light brown at some edges or small spots</v>
      </c>
      <c r="I42" s="12" t="str">
        <f>IF(G42="","",IFERROR(INDEX(Bands!$J$3:$J$6,MATCH(G42,Bands!$A$3:$A$6,0)),""))</f>
        <v>Not pale yellow (matches a low value) and not deep reddish-brown (matches a high value). Avoid black or burnt chips.</v>
      </c>
      <c r="J42" s="12" t="str">
        <f>IF(G42="","","Ch5_"&amp;TEXT(COUNT($F$2:F42),"000")&amp;"_"&amp;SUBSTITUTE(G42," ","-")&amp;"_"&amp;TEXT(F42,"0")&amp;".jpg")</f>
        <v>Ch5_034_Medium_569.jpg</v>
      </c>
    </row>
    <row r="43" spans="1:10" ht="12.75" customHeight="1" x14ac:dyDescent="0.25">
      <c r="A43" s="2"/>
      <c r="B43" s="2"/>
      <c r="C43" s="6">
        <v>2</v>
      </c>
      <c r="D43" s="9">
        <v>1</v>
      </c>
      <c r="E43" s="14">
        <v>72</v>
      </c>
      <c r="F43" s="3">
        <v>720</v>
      </c>
      <c r="G43" s="12" t="str">
        <f>IF(NOT(ISNUMBER(F43)),"",IF(F43&lt;Bands!$B$4,"Low",IF(F43&lt;Bands!$B$5,"Medium",IF(F43&lt;Bands!$B$6,"High","Very high"))))</f>
        <v>Medium</v>
      </c>
      <c r="H43" s="12" t="str">
        <f>IF(G43="","",IFERROR(INDEX(Bands!$D$3:$D$6,MATCH(G43,Bands!$A$3:$A$6,0)),""))</f>
        <v>Golden yellow with light brown at some edges or small spots</v>
      </c>
      <c r="I43" s="12" t="str">
        <f>IF(G43="","",IFERROR(INDEX(Bands!$J$3:$J$6,MATCH(G43,Bands!$A$3:$A$6,0)),""))</f>
        <v>Not pale yellow (matches a low value) and not deep reddish-brown (matches a high value). Avoid black or burnt chips.</v>
      </c>
      <c r="J43" s="12" t="str">
        <f>IF(G43="","","Ch5_"&amp;TEXT(COUNT($F$2:F43),"000")&amp;"_"&amp;SUBSTITUTE(G43," ","-")&amp;"_"&amp;TEXT(F43,"0")&amp;".jpg")</f>
        <v>Ch5_035_Medium_720.jpg</v>
      </c>
    </row>
    <row r="44" spans="1:10" ht="12.75" customHeight="1" x14ac:dyDescent="0.25">
      <c r="A44" s="2"/>
      <c r="B44" s="2"/>
      <c r="C44" s="6">
        <v>3</v>
      </c>
      <c r="D44" s="9">
        <v>1</v>
      </c>
      <c r="E44" s="14">
        <v>83.3</v>
      </c>
      <c r="F44" s="3">
        <v>833</v>
      </c>
      <c r="G44" s="12" t="str">
        <f>IF(NOT(ISNUMBER(F44)),"",IF(F44&lt;Bands!$B$4,"Low",IF(F44&lt;Bands!$B$5,"Medium",IF(F44&lt;Bands!$B$6,"High","Very high"))))</f>
        <v>Medium</v>
      </c>
      <c r="H44" s="12" t="str">
        <f>IF(G44="","",IFERROR(INDEX(Bands!$D$3:$D$6,MATCH(G44,Bands!$A$3:$A$6,0)),""))</f>
        <v>Golden yellow with light brown at some edges or small spots</v>
      </c>
      <c r="I44" s="12" t="str">
        <f>IF(G44="","",IFERROR(INDEX(Bands!$J$3:$J$6,MATCH(G44,Bands!$A$3:$A$6,0)),""))</f>
        <v>Not pale yellow (matches a low value) and not deep reddish-brown (matches a high value). Avoid black or burnt chips.</v>
      </c>
      <c r="J44" s="12" t="str">
        <f>IF(G44="","","Ch5_"&amp;TEXT(COUNT($F$2:F44),"000")&amp;"_"&amp;SUBSTITUTE(G44," ","-")&amp;"_"&amp;TEXT(F44,"0")&amp;".jpg")</f>
        <v>Ch5_036_Medium_833.jpg</v>
      </c>
    </row>
    <row r="45" spans="1:10" ht="12.75" customHeight="1" x14ac:dyDescent="0.25">
      <c r="A45" s="2"/>
      <c r="E45" s="14"/>
    </row>
    <row r="46" spans="1:10" ht="12.75" customHeight="1" x14ac:dyDescent="0.25">
      <c r="A46" s="2"/>
      <c r="B46" s="2" t="s">
        <v>96</v>
      </c>
      <c r="C46" s="6">
        <v>1</v>
      </c>
      <c r="D46" s="9">
        <v>1</v>
      </c>
      <c r="E46" s="14">
        <v>111.1</v>
      </c>
      <c r="F46" s="3">
        <v>1111</v>
      </c>
      <c r="G46" s="12" t="str">
        <f>IF(NOT(ISNUMBER(F46)),"",IF(F46&lt;Bands!$B$4,"Low",IF(F46&lt;Bands!$B$5,"Medium",IF(F46&lt;Bands!$B$6,"High","Very high"))))</f>
        <v>High</v>
      </c>
      <c r="H46" s="12" t="str">
        <f>IF(G46="","",IFERROR(INDEX(Bands!$D$3:$D$6,MATCH(G46,Bands!$A$3:$A$6,0)),""))</f>
        <v>Golden-brown with a reddish tint, brown edges, somewhat uneven</v>
      </c>
      <c r="I46" s="12" t="str">
        <f>IF(G46="","",IFERROR(INDEX(Bands!$J$3:$J$6,MATCH(G46,Bands!$A$3:$A$6,0)),""))</f>
        <v>Not pale yellow, which would match a low value. Not black or burnt, since very dark chips can have lower acrylamide.</v>
      </c>
      <c r="J46" s="12" t="str">
        <f>IF(G46="","","Ch5_"&amp;TEXT(COUNT($F$2:F46),"000")&amp;"_"&amp;SUBSTITUTE(G46," ","-")&amp;"_"&amp;TEXT(F46,"0")&amp;".jpg")</f>
        <v>Ch5_037_High_1111.jpg</v>
      </c>
    </row>
    <row r="47" spans="1:10" ht="12.75" customHeight="1" x14ac:dyDescent="0.25">
      <c r="A47" s="2"/>
      <c r="B47" s="2"/>
      <c r="C47" s="6">
        <v>2</v>
      </c>
      <c r="D47" s="9">
        <v>1</v>
      </c>
      <c r="E47" s="14">
        <v>67.8</v>
      </c>
      <c r="F47" s="3">
        <v>678</v>
      </c>
      <c r="G47" s="12" t="str">
        <f>IF(NOT(ISNUMBER(F47)),"",IF(F47&lt;Bands!$B$4,"Low",IF(F47&lt;Bands!$B$5,"Medium",IF(F47&lt;Bands!$B$6,"High","Very high"))))</f>
        <v>Medium</v>
      </c>
      <c r="H47" s="12" t="str">
        <f>IF(G47="","",IFERROR(INDEX(Bands!$D$3:$D$6,MATCH(G47,Bands!$A$3:$A$6,0)),""))</f>
        <v>Golden yellow with light brown at some edges or small spots</v>
      </c>
      <c r="I47" s="12" t="str">
        <f>IF(G47="","",IFERROR(INDEX(Bands!$J$3:$J$6,MATCH(G47,Bands!$A$3:$A$6,0)),""))</f>
        <v>Not pale yellow (matches a low value) and not deep reddish-brown (matches a high value). Avoid black or burnt chips.</v>
      </c>
      <c r="J47" s="12" t="str">
        <f>IF(G47="","","Ch5_"&amp;TEXT(COUNT($F$2:F47),"000")&amp;"_"&amp;SUBSTITUTE(G47," ","-")&amp;"_"&amp;TEXT(F47,"0")&amp;".jpg")</f>
        <v>Ch5_038_Medium_678.jpg</v>
      </c>
    </row>
    <row r="48" spans="1:10" ht="12.75" customHeight="1" x14ac:dyDescent="0.25">
      <c r="A48" s="2"/>
      <c r="B48" s="2"/>
      <c r="C48" s="6">
        <v>3</v>
      </c>
      <c r="D48" s="9">
        <v>1</v>
      </c>
      <c r="E48" s="14">
        <v>91.5</v>
      </c>
      <c r="F48" s="3">
        <v>915</v>
      </c>
      <c r="G48" s="12" t="str">
        <f>IF(NOT(ISNUMBER(F48)),"",IF(F48&lt;Bands!$B$4,"Low",IF(F48&lt;Bands!$B$5,"Medium",IF(F48&lt;Bands!$B$6,"High","Very high"))))</f>
        <v>Medium</v>
      </c>
      <c r="H48" s="12" t="str">
        <f>IF(G48="","",IFERROR(INDEX(Bands!$D$3:$D$6,MATCH(G48,Bands!$A$3:$A$6,0)),""))</f>
        <v>Golden yellow with light brown at some edges or small spots</v>
      </c>
      <c r="I48" s="12" t="str">
        <f>IF(G48="","",IFERROR(INDEX(Bands!$J$3:$J$6,MATCH(G48,Bands!$A$3:$A$6,0)),""))</f>
        <v>Not pale yellow (matches a low value) and not deep reddish-brown (matches a high value). Avoid black or burnt chips.</v>
      </c>
      <c r="J48" s="12" t="str">
        <f>IF(G48="","","Ch5_"&amp;TEXT(COUNT($F$2:F48),"000")&amp;"_"&amp;SUBSTITUTE(G48," ","-")&amp;"_"&amp;TEXT(F48,"0")&amp;".jpg")</f>
        <v>Ch5_039_Medium_915.jpg</v>
      </c>
    </row>
    <row r="49" spans="1:10" ht="12.75" customHeight="1" x14ac:dyDescent="0.25">
      <c r="A49" s="2"/>
      <c r="E49" s="14"/>
    </row>
    <row r="50" spans="1:10" ht="12.75" customHeight="1" x14ac:dyDescent="0.25">
      <c r="A50" s="2"/>
      <c r="B50" s="2" t="s">
        <v>97</v>
      </c>
      <c r="C50" s="6">
        <v>1</v>
      </c>
      <c r="D50" s="9">
        <v>1</v>
      </c>
      <c r="E50" s="14">
        <v>66.900000000000006</v>
      </c>
      <c r="F50" s="3">
        <v>669</v>
      </c>
      <c r="G50" s="12" t="str">
        <f>IF(NOT(ISNUMBER(F50)),"",IF(F50&lt;Bands!$B$4,"Low",IF(F50&lt;Bands!$B$5,"Medium",IF(F50&lt;Bands!$B$6,"High","Very high"))))</f>
        <v>Medium</v>
      </c>
      <c r="H50" s="12" t="str">
        <f>IF(G50="","",IFERROR(INDEX(Bands!$D$3:$D$6,MATCH(G50,Bands!$A$3:$A$6,0)),""))</f>
        <v>Golden yellow with light brown at some edges or small spots</v>
      </c>
      <c r="I50" s="12" t="str">
        <f>IF(G50="","",IFERROR(INDEX(Bands!$J$3:$J$6,MATCH(G50,Bands!$A$3:$A$6,0)),""))</f>
        <v>Not pale yellow (matches a low value) and not deep reddish-brown (matches a high value). Avoid black or burnt chips.</v>
      </c>
      <c r="J50" s="12" t="str">
        <f>IF(G50="","","Ch5_"&amp;TEXT(COUNT($F$2:F50),"000")&amp;"_"&amp;SUBSTITUTE(G50," ","-")&amp;"_"&amp;TEXT(F50,"0")&amp;".jpg")</f>
        <v>Ch5_040_Medium_669.jpg</v>
      </c>
    </row>
    <row r="51" spans="1:10" ht="12.75" customHeight="1" x14ac:dyDescent="0.25">
      <c r="A51" s="2"/>
      <c r="B51" s="2"/>
      <c r="C51" s="6">
        <v>2</v>
      </c>
      <c r="D51" s="9">
        <v>1</v>
      </c>
      <c r="E51" s="14">
        <v>68</v>
      </c>
      <c r="F51" s="3">
        <v>680</v>
      </c>
      <c r="G51" s="12" t="str">
        <f>IF(NOT(ISNUMBER(F51)),"",IF(F51&lt;Bands!$B$4,"Low",IF(F51&lt;Bands!$B$5,"Medium",IF(F51&lt;Bands!$B$6,"High","Very high"))))</f>
        <v>Medium</v>
      </c>
      <c r="H51" s="12" t="str">
        <f>IF(G51="","",IFERROR(INDEX(Bands!$D$3:$D$6,MATCH(G51,Bands!$A$3:$A$6,0)),""))</f>
        <v>Golden yellow with light brown at some edges or small spots</v>
      </c>
      <c r="I51" s="12" t="str">
        <f>IF(G51="","",IFERROR(INDEX(Bands!$J$3:$J$6,MATCH(G51,Bands!$A$3:$A$6,0)),""))</f>
        <v>Not pale yellow (matches a low value) and not deep reddish-brown (matches a high value). Avoid black or burnt chips.</v>
      </c>
      <c r="J51" s="12" t="str">
        <f>IF(G51="","","Ch5_"&amp;TEXT(COUNT($F$2:F51),"000")&amp;"_"&amp;SUBSTITUTE(G51," ","-")&amp;"_"&amp;TEXT(F51,"0")&amp;".jpg")</f>
        <v>Ch5_041_Medium_680.jpg</v>
      </c>
    </row>
    <row r="52" spans="1:10" ht="12.75" customHeight="1" x14ac:dyDescent="0.25">
      <c r="A52" s="2"/>
      <c r="B52" s="2"/>
      <c r="C52" s="6">
        <v>3</v>
      </c>
      <c r="D52" s="9">
        <v>1</v>
      </c>
      <c r="E52" s="14">
        <v>59.3</v>
      </c>
      <c r="F52" s="3">
        <v>593</v>
      </c>
      <c r="G52" s="12" t="str">
        <f>IF(NOT(ISNUMBER(F52)),"",IF(F52&lt;Bands!$B$4,"Low",IF(F52&lt;Bands!$B$5,"Medium",IF(F52&lt;Bands!$B$6,"High","Very high"))))</f>
        <v>Medium</v>
      </c>
      <c r="H52" s="12" t="str">
        <f>IF(G52="","",IFERROR(INDEX(Bands!$D$3:$D$6,MATCH(G52,Bands!$A$3:$A$6,0)),""))</f>
        <v>Golden yellow with light brown at some edges or small spots</v>
      </c>
      <c r="I52" s="12" t="str">
        <f>IF(G52="","",IFERROR(INDEX(Bands!$J$3:$J$6,MATCH(G52,Bands!$A$3:$A$6,0)),""))</f>
        <v>Not pale yellow (matches a low value) and not deep reddish-brown (matches a high value). Avoid black or burnt chips.</v>
      </c>
      <c r="J52" s="12" t="str">
        <f>IF(G52="","","Ch5_"&amp;TEXT(COUNT($F$2:F52),"000")&amp;"_"&amp;SUBSTITUTE(G52," ","-")&amp;"_"&amp;TEXT(F52,"0")&amp;".jpg")</f>
        <v>Ch5_042_Medium_593.jpg</v>
      </c>
    </row>
    <row r="54" spans="1:10" ht="12.75" customHeight="1" x14ac:dyDescent="0.25">
      <c r="A54" s="2" t="s">
        <v>99</v>
      </c>
      <c r="B54" s="2" t="s">
        <v>92</v>
      </c>
      <c r="C54" s="6" t="s">
        <v>10</v>
      </c>
      <c r="D54" s="9">
        <v>1.0043</v>
      </c>
      <c r="E54" s="9">
        <v>501.87562453950699</v>
      </c>
      <c r="F54" s="11">
        <v>4997.2679930250597</v>
      </c>
      <c r="G54" s="12" t="str">
        <f>IF(NOT(ISNUMBER(F54)),"",IF(F54&lt;Bands!$B$4,"Low",IF(F54&lt;Bands!$B$5,"Medium",IF(F54&lt;Bands!$B$6,"High","Very high"))))</f>
        <v>Very high</v>
      </c>
      <c r="H54" s="12" t="str">
        <f>IF(G54="","",IFERROR(INDEX(Bands!$D$3:$D$6,MATCH(G54,Bands!$A$3:$A$6,0)),""))</f>
        <v>Deep golden-brown to medium brown with a reddish tone; edges darkest, centre golden or light brown</v>
      </c>
      <c r="I54" s="12" t="str">
        <f>IF(G54="","",IFERROR(INDEX(Bands!$J$3:$J$6,MATCH(G54,Bands!$A$3:$A$6,0)),""))</f>
        <v>Not pale yellow, which would match a low value, or black and burnt, since very dark chips can have lower acrylamide.</v>
      </c>
      <c r="J54" s="12" t="str">
        <f>IF(G54="","","Ch5_"&amp;TEXT(COUNT($F$2:F54),"000")&amp;"_"&amp;SUBSTITUTE(G54," ","-")&amp;"_"&amp;TEXT(F54,"0")&amp;".jpg")</f>
        <v>Ch5_043_Very-high_4997.jpg</v>
      </c>
    </row>
    <row r="55" spans="1:10" ht="12.75" customHeight="1" x14ac:dyDescent="0.25">
      <c r="A55" s="2"/>
      <c r="B55" s="2"/>
      <c r="C55" s="6" t="s">
        <v>11</v>
      </c>
      <c r="D55" s="9">
        <v>1.0058</v>
      </c>
      <c r="E55" s="9">
        <v>171.046832852118</v>
      </c>
      <c r="F55" s="11">
        <v>1700.60482056192</v>
      </c>
      <c r="G55" s="12" t="str">
        <f>IF(NOT(ISNUMBER(F55)),"",IF(F55&lt;Bands!$B$4,"Low",IF(F55&lt;Bands!$B$5,"Medium",IF(F55&lt;Bands!$B$6,"High","Very high"))))</f>
        <v>High</v>
      </c>
      <c r="H55" s="12" t="str">
        <f>IF(G55="","",IFERROR(INDEX(Bands!$D$3:$D$6,MATCH(G55,Bands!$A$3:$A$6,0)),""))</f>
        <v>Golden-brown with a reddish tint, brown edges, somewhat uneven</v>
      </c>
      <c r="I55" s="12" t="str">
        <f>IF(G55="","",IFERROR(INDEX(Bands!$J$3:$J$6,MATCH(G55,Bands!$A$3:$A$6,0)),""))</f>
        <v>Not pale yellow, which would match a low value. Not black or burnt, since very dark chips can have lower acrylamide.</v>
      </c>
      <c r="J55" s="12" t="str">
        <f>IF(G55="","","Ch5_"&amp;TEXT(COUNT($F$2:F55),"000")&amp;"_"&amp;SUBSTITUTE(G55," ","-")&amp;"_"&amp;TEXT(F55,"0")&amp;".jpg")</f>
        <v>Ch5_044_High_1701.jpg</v>
      </c>
    </row>
    <row r="56" spans="1:10" ht="12.75" customHeight="1" x14ac:dyDescent="0.25">
      <c r="A56" s="2"/>
      <c r="B56" s="2"/>
      <c r="C56" s="6" t="s">
        <v>12</v>
      </c>
      <c r="D56" s="9">
        <v>1.0001</v>
      </c>
      <c r="E56" s="9">
        <v>322.47408176838502</v>
      </c>
      <c r="F56" s="11">
        <v>3224.41837584627</v>
      </c>
      <c r="G56" s="12" t="str">
        <f>IF(NOT(ISNUMBER(F56)),"",IF(F56&lt;Bands!$B$4,"Low",IF(F56&lt;Bands!$B$5,"Medium",IF(F56&lt;Bands!$B$6,"High","Very high"))))</f>
        <v>Very high</v>
      </c>
      <c r="H56" s="12" t="str">
        <f>IF(G56="","",IFERROR(INDEX(Bands!$D$3:$D$6,MATCH(G56,Bands!$A$3:$A$6,0)),""))</f>
        <v>Deep golden-brown to medium brown with a reddish tone; edges darkest, centre golden or light brown</v>
      </c>
      <c r="I56" s="12" t="str">
        <f>IF(G56="","",IFERROR(INDEX(Bands!$J$3:$J$6,MATCH(G56,Bands!$A$3:$A$6,0)),""))</f>
        <v>Not pale yellow, which would match a low value, or black and burnt, since very dark chips can have lower acrylamide.</v>
      </c>
      <c r="J56" s="12" t="str">
        <f>IF(G56="","","Ch5_"&amp;TEXT(COUNT($F$2:F56),"000")&amp;"_"&amp;SUBSTITUTE(G56," ","-")&amp;"_"&amp;TEXT(F56,"0")&amp;".jpg")</f>
        <v>Ch5_045_Very-high_3224.jpg</v>
      </c>
    </row>
    <row r="57" spans="1:10" ht="12.75" customHeight="1" x14ac:dyDescent="0.25">
      <c r="A57" s="2"/>
      <c r="B57" s="2"/>
      <c r="C57" s="6" t="s">
        <v>13</v>
      </c>
      <c r="D57" s="9">
        <v>1.0048999999999999</v>
      </c>
      <c r="E57" s="9">
        <v>90.024606092499994</v>
      </c>
      <c r="F57" s="11">
        <v>895.85636473778504</v>
      </c>
      <c r="G57" s="12" t="str">
        <f>IF(NOT(ISNUMBER(F57)),"",IF(F57&lt;Bands!$B$4,"Low",IF(F57&lt;Bands!$B$5,"Medium",IF(F57&lt;Bands!$B$6,"High","Very high"))))</f>
        <v>Medium</v>
      </c>
      <c r="H57" s="12" t="str">
        <f>IF(G57="","",IFERROR(INDEX(Bands!$D$3:$D$6,MATCH(G57,Bands!$A$3:$A$6,0)),""))</f>
        <v>Golden yellow with light brown at some edges or small spots</v>
      </c>
      <c r="I57" s="12" t="str">
        <f>IF(G57="","",IFERROR(INDEX(Bands!$J$3:$J$6,MATCH(G57,Bands!$A$3:$A$6,0)),""))</f>
        <v>Not pale yellow (matches a low value) and not deep reddish-brown (matches a high value). Avoid black or burnt chips.</v>
      </c>
      <c r="J57" s="12" t="str">
        <f>IF(G57="","","Ch5_"&amp;TEXT(COUNT($F$2:F57),"000")&amp;"_"&amp;SUBSTITUTE(G57," ","-")&amp;"_"&amp;TEXT(F57,"0")&amp;".jpg")</f>
        <v>Ch5_046_Medium_896.jpg</v>
      </c>
    </row>
    <row r="58" spans="1:10" ht="12.75" customHeight="1" x14ac:dyDescent="0.25">
      <c r="A58" s="2"/>
      <c r="B58" s="2"/>
      <c r="C58" s="6" t="s">
        <v>14</v>
      </c>
      <c r="D58" s="9">
        <v>1.0009999999999999</v>
      </c>
      <c r="E58" s="9">
        <v>295.45507593433899</v>
      </c>
      <c r="F58" s="11">
        <v>2951.5991601832102</v>
      </c>
      <c r="G58" s="12" t="str">
        <f>IF(NOT(ISNUMBER(F58)),"",IF(F58&lt;Bands!$B$4,"Low",IF(F58&lt;Bands!$B$5,"Medium",IF(F58&lt;Bands!$B$6,"High","Very high"))))</f>
        <v>Very high</v>
      </c>
      <c r="H58" s="12" t="str">
        <f>IF(G58="","",IFERROR(INDEX(Bands!$D$3:$D$6,MATCH(G58,Bands!$A$3:$A$6,0)),""))</f>
        <v>Deep golden-brown to medium brown with a reddish tone; edges darkest, centre golden or light brown</v>
      </c>
      <c r="I58" s="12" t="str">
        <f>IF(G58="","",IFERROR(INDEX(Bands!$J$3:$J$6,MATCH(G58,Bands!$A$3:$A$6,0)),""))</f>
        <v>Not pale yellow, which would match a low value, or black and burnt, since very dark chips can have lower acrylamide.</v>
      </c>
      <c r="J58" s="12" t="str">
        <f>IF(G58="","","Ch5_"&amp;TEXT(COUNT($F$2:F58),"000")&amp;"_"&amp;SUBSTITUTE(G58," ","-")&amp;"_"&amp;TEXT(F58,"0")&amp;".jpg")</f>
        <v>Ch5_047_Very-high_2952.jpg</v>
      </c>
    </row>
    <row r="59" spans="1:10" ht="12.75" customHeight="1" x14ac:dyDescent="0.25">
      <c r="A59" s="2"/>
      <c r="B59" s="2"/>
      <c r="C59" s="6" t="s">
        <v>15</v>
      </c>
      <c r="D59" s="9">
        <v>1.0053000000000001</v>
      </c>
      <c r="E59" s="9">
        <v>193.605967298248</v>
      </c>
      <c r="F59" s="11">
        <v>1925.8526539167201</v>
      </c>
      <c r="G59" s="12" t="str">
        <f>IF(NOT(ISNUMBER(F59)),"",IF(F59&lt;Bands!$B$4,"Low",IF(F59&lt;Bands!$B$5,"Medium",IF(F59&lt;Bands!$B$6,"High","Very high"))))</f>
        <v>High</v>
      </c>
      <c r="H59" s="12" t="str">
        <f>IF(G59="","",IFERROR(INDEX(Bands!$D$3:$D$6,MATCH(G59,Bands!$A$3:$A$6,0)),""))</f>
        <v>Golden-brown with a reddish tint, brown edges, somewhat uneven</v>
      </c>
      <c r="I59" s="12" t="str">
        <f>IF(G59="","",IFERROR(INDEX(Bands!$J$3:$J$6,MATCH(G59,Bands!$A$3:$A$6,0)),""))</f>
        <v>Not pale yellow, which would match a low value. Not black or burnt, since very dark chips can have lower acrylamide.</v>
      </c>
      <c r="J59" s="12" t="str">
        <f>IF(G59="","","Ch5_"&amp;TEXT(COUNT($F$2:F59),"000")&amp;"_"&amp;SUBSTITUTE(G59," ","-")&amp;"_"&amp;TEXT(F59,"0")&amp;".jpg")</f>
        <v>Ch5_048_High_1926.jpg</v>
      </c>
    </row>
    <row r="60" spans="1:10" ht="12.75" customHeight="1" x14ac:dyDescent="0.25">
      <c r="A60" s="2"/>
      <c r="D60" s="9"/>
      <c r="E60" s="9"/>
      <c r="F60" s="11"/>
    </row>
    <row r="61" spans="1:10" ht="12.75" customHeight="1" x14ac:dyDescent="0.25">
      <c r="A61" s="2"/>
      <c r="B61" s="2" t="s">
        <v>100</v>
      </c>
      <c r="C61" s="6" t="s">
        <v>10</v>
      </c>
      <c r="D61" s="9">
        <v>1.0023</v>
      </c>
      <c r="E61" s="9">
        <v>197.55043052010299</v>
      </c>
      <c r="F61" s="11">
        <v>1970.9710717360399</v>
      </c>
      <c r="G61" s="12" t="str">
        <f>IF(NOT(ISNUMBER(F61)),"",IF(F61&lt;Bands!$B$4,"Low",IF(F61&lt;Bands!$B$5,"Medium",IF(F61&lt;Bands!$B$6,"High","Very high"))))</f>
        <v>High</v>
      </c>
      <c r="H61" s="12" t="str">
        <f>IF(G61="","",IFERROR(INDEX(Bands!$D$3:$D$6,MATCH(G61,Bands!$A$3:$A$6,0)),""))</f>
        <v>Golden-brown with a reddish tint, brown edges, somewhat uneven</v>
      </c>
      <c r="I61" s="12" t="str">
        <f>IF(G61="","",IFERROR(INDEX(Bands!$J$3:$J$6,MATCH(G61,Bands!$A$3:$A$6,0)),""))</f>
        <v>Not pale yellow, which would match a low value. Not black or burnt, since very dark chips can have lower acrylamide.</v>
      </c>
      <c r="J61" s="12" t="str">
        <f>IF(G61="","","Ch5_"&amp;TEXT(COUNT($F$2:F61),"000")&amp;"_"&amp;SUBSTITUTE(G61," ","-")&amp;"_"&amp;TEXT(F61,"0")&amp;".jpg")</f>
        <v>Ch5_049_High_1971.jpg</v>
      </c>
    </row>
    <row r="62" spans="1:10" ht="12.75" customHeight="1" x14ac:dyDescent="0.25">
      <c r="A62" s="2"/>
      <c r="B62" s="2"/>
      <c r="C62" s="6" t="s">
        <v>11</v>
      </c>
      <c r="D62" s="9">
        <v>1.0025999999999999</v>
      </c>
      <c r="E62" s="9">
        <v>202.579003831488</v>
      </c>
      <c r="F62" s="11">
        <v>2020.5366430429699</v>
      </c>
      <c r="G62" s="12" t="str">
        <f>IF(NOT(ISNUMBER(F62)),"",IF(F62&lt;Bands!$B$4,"Low",IF(F62&lt;Bands!$B$5,"Medium",IF(F62&lt;Bands!$B$6,"High","Very high"))))</f>
        <v>Very high</v>
      </c>
      <c r="H62" s="12" t="str">
        <f>IF(G62="","",IFERROR(INDEX(Bands!$D$3:$D$6,MATCH(G62,Bands!$A$3:$A$6,0)),""))</f>
        <v>Deep golden-brown to medium brown with a reddish tone; edges darkest, centre golden or light brown</v>
      </c>
      <c r="I62" s="12" t="str">
        <f>IF(G62="","",IFERROR(INDEX(Bands!$J$3:$J$6,MATCH(G62,Bands!$A$3:$A$6,0)),""))</f>
        <v>Not pale yellow, which would match a low value, or black and burnt, since very dark chips can have lower acrylamide.</v>
      </c>
      <c r="J62" s="12" t="str">
        <f>IF(G62="","","Ch5_"&amp;TEXT(COUNT($F$2:F62),"000")&amp;"_"&amp;SUBSTITUTE(G62," ","-")&amp;"_"&amp;TEXT(F62,"0")&amp;".jpg")</f>
        <v>Ch5_050_Very-high_2021.jpg</v>
      </c>
    </row>
    <row r="63" spans="1:10" ht="12.75" customHeight="1" x14ac:dyDescent="0.25">
      <c r="A63" s="2"/>
      <c r="B63" s="2"/>
      <c r="C63" s="6" t="s">
        <v>12</v>
      </c>
      <c r="D63" s="9">
        <v>1.0026999999999999</v>
      </c>
      <c r="E63" s="9">
        <v>504.86402638087498</v>
      </c>
      <c r="F63" s="11">
        <v>5035.0456405791901</v>
      </c>
      <c r="G63" s="12" t="str">
        <f>IF(NOT(ISNUMBER(F63)),"",IF(F63&lt;Bands!$B$4,"Low",IF(F63&lt;Bands!$B$5,"Medium",IF(F63&lt;Bands!$B$6,"High","Very high"))))</f>
        <v>Very high</v>
      </c>
      <c r="H63" s="12" t="str">
        <f>IF(G63="","",IFERROR(INDEX(Bands!$D$3:$D$6,MATCH(G63,Bands!$A$3:$A$6,0)),""))</f>
        <v>Deep golden-brown to medium brown with a reddish tone; edges darkest, centre golden or light brown</v>
      </c>
      <c r="I63" s="12" t="str">
        <f>IF(G63="","",IFERROR(INDEX(Bands!$J$3:$J$6,MATCH(G63,Bands!$A$3:$A$6,0)),""))</f>
        <v>Not pale yellow, which would match a low value, or black and burnt, since very dark chips can have lower acrylamide.</v>
      </c>
      <c r="J63" s="12" t="str">
        <f>IF(G63="","","Ch5_"&amp;TEXT(COUNT($F$2:F63),"000")&amp;"_"&amp;SUBSTITUTE(G63," ","-")&amp;"_"&amp;TEXT(F63,"0")&amp;".jpg")</f>
        <v>Ch5_051_Very-high_5035.jpg</v>
      </c>
    </row>
    <row r="64" spans="1:10" ht="12.75" customHeight="1" x14ac:dyDescent="0.25">
      <c r="A64" s="2"/>
      <c r="B64" s="2"/>
      <c r="C64" s="6" t="s">
        <v>13</v>
      </c>
      <c r="D64" s="9">
        <v>1.0092000000000001</v>
      </c>
      <c r="E64" s="9">
        <v>110.921888352434</v>
      </c>
      <c r="F64" s="11">
        <v>1099.10709822071</v>
      </c>
      <c r="G64" s="12" t="str">
        <f>IF(NOT(ISNUMBER(F64)),"",IF(F64&lt;Bands!$B$4,"Low",IF(F64&lt;Bands!$B$5,"Medium",IF(F64&lt;Bands!$B$6,"High","Very high"))))</f>
        <v>High</v>
      </c>
      <c r="H64" s="12" t="str">
        <f>IF(G64="","",IFERROR(INDEX(Bands!$D$3:$D$6,MATCH(G64,Bands!$A$3:$A$6,0)),""))</f>
        <v>Golden-brown with a reddish tint, brown edges, somewhat uneven</v>
      </c>
      <c r="I64" s="12" t="str">
        <f>IF(G64="","",IFERROR(INDEX(Bands!$J$3:$J$6,MATCH(G64,Bands!$A$3:$A$6,0)),""))</f>
        <v>Not pale yellow, which would match a low value. Not black or burnt, since very dark chips can have lower acrylamide.</v>
      </c>
      <c r="J64" s="12" t="str">
        <f>IF(G64="","","Ch5_"&amp;TEXT(COUNT($F$2:F64),"000")&amp;"_"&amp;SUBSTITUTE(G64," ","-")&amp;"_"&amp;TEXT(F64,"0")&amp;".jpg")</f>
        <v>Ch5_052_High_1099.jpg</v>
      </c>
    </row>
    <row r="65" spans="1:10" ht="12.75" customHeight="1" x14ac:dyDescent="0.25">
      <c r="A65" s="2"/>
      <c r="B65" s="2"/>
      <c r="C65" s="6" t="s">
        <v>14</v>
      </c>
      <c r="D65" s="9">
        <v>0.99990000000000001</v>
      </c>
      <c r="E65" s="9">
        <v>59.810140961239902</v>
      </c>
      <c r="F65" s="11">
        <v>598.16122573497296</v>
      </c>
      <c r="G65" s="12" t="str">
        <f>IF(NOT(ISNUMBER(F65)),"",IF(F65&lt;Bands!$B$4,"Low",IF(F65&lt;Bands!$B$5,"Medium",IF(F65&lt;Bands!$B$6,"High","Very high"))))</f>
        <v>Medium</v>
      </c>
      <c r="H65" s="12" t="str">
        <f>IF(G65="","",IFERROR(INDEX(Bands!$D$3:$D$6,MATCH(G65,Bands!$A$3:$A$6,0)),""))</f>
        <v>Golden yellow with light brown at some edges or small spots</v>
      </c>
      <c r="I65" s="12" t="str">
        <f>IF(G65="","",IFERROR(INDEX(Bands!$J$3:$J$6,MATCH(G65,Bands!$A$3:$A$6,0)),""))</f>
        <v>Not pale yellow (matches a low value) and not deep reddish-brown (matches a high value). Avoid black or burnt chips.</v>
      </c>
      <c r="J65" s="12" t="str">
        <f>IF(G65="","","Ch5_"&amp;TEXT(COUNT($F$2:F65),"000")&amp;"_"&amp;SUBSTITUTE(G65," ","-")&amp;"_"&amp;TEXT(F65,"0")&amp;".jpg")</f>
        <v>Ch5_053_Medium_598.jpg</v>
      </c>
    </row>
    <row r="66" spans="1:10" ht="12.75" customHeight="1" x14ac:dyDescent="0.25">
      <c r="A66" s="2"/>
      <c r="B66" s="2"/>
      <c r="C66" s="6" t="s">
        <v>15</v>
      </c>
      <c r="D66" s="9">
        <v>1.0034000000000001</v>
      </c>
      <c r="E66" s="9">
        <v>117.85324654065499</v>
      </c>
      <c r="F66" s="11">
        <v>1174.53903269539</v>
      </c>
      <c r="G66" s="12" t="str">
        <f>IF(NOT(ISNUMBER(F66)),"",IF(F66&lt;Bands!$B$4,"Low",IF(F66&lt;Bands!$B$5,"Medium",IF(F66&lt;Bands!$B$6,"High","Very high"))))</f>
        <v>High</v>
      </c>
      <c r="H66" s="12" t="str">
        <f>IF(G66="","",IFERROR(INDEX(Bands!$D$3:$D$6,MATCH(G66,Bands!$A$3:$A$6,0)),""))</f>
        <v>Golden-brown with a reddish tint, brown edges, somewhat uneven</v>
      </c>
      <c r="I66" s="12" t="str">
        <f>IF(G66="","",IFERROR(INDEX(Bands!$J$3:$J$6,MATCH(G66,Bands!$A$3:$A$6,0)),""))</f>
        <v>Not pale yellow, which would match a low value. Not black or burnt, since very dark chips can have lower acrylamide.</v>
      </c>
      <c r="J66" s="12" t="str">
        <f>IF(G66="","","Ch5_"&amp;TEXT(COUNT($F$2:F66),"000")&amp;"_"&amp;SUBSTITUTE(G66," ","-")&amp;"_"&amp;TEXT(F66,"0")&amp;".jpg")</f>
        <v>Ch5_054_High_1175.jpg</v>
      </c>
    </row>
    <row r="67" spans="1:10" ht="12.75" customHeight="1" x14ac:dyDescent="0.25">
      <c r="A67" s="2"/>
      <c r="D67" s="9"/>
      <c r="E67" s="9"/>
      <c r="F67" s="11"/>
    </row>
    <row r="68" spans="1:10" ht="12.75" customHeight="1" x14ac:dyDescent="0.25">
      <c r="A68" s="2"/>
      <c r="B68" s="2" t="s">
        <v>101</v>
      </c>
      <c r="C68" s="6" t="s">
        <v>10</v>
      </c>
      <c r="D68" s="9">
        <v>1.0008999999999999</v>
      </c>
      <c r="E68" s="9">
        <v>63.705359957132202</v>
      </c>
      <c r="F68" s="11">
        <v>636.48076688112894</v>
      </c>
      <c r="G68" s="12" t="str">
        <f>IF(NOT(ISNUMBER(F68)),"",IF(F68&lt;Bands!$B$4,"Low",IF(F68&lt;Bands!$B$5,"Medium",IF(F68&lt;Bands!$B$6,"High","Very high"))))</f>
        <v>Medium</v>
      </c>
      <c r="H68" s="12" t="str">
        <f>IF(G68="","",IFERROR(INDEX(Bands!$D$3:$D$6,MATCH(G68,Bands!$A$3:$A$6,0)),""))</f>
        <v>Golden yellow with light brown at some edges or small spots</v>
      </c>
      <c r="I68" s="12" t="str">
        <f>IF(G68="","",IFERROR(INDEX(Bands!$J$3:$J$6,MATCH(G68,Bands!$A$3:$A$6,0)),""))</f>
        <v>Not pale yellow (matches a low value) and not deep reddish-brown (matches a high value). Avoid black or burnt chips.</v>
      </c>
      <c r="J68" s="12" t="str">
        <f>IF(G68="","","Ch5_"&amp;TEXT(COUNT($F$2:F68),"000")&amp;"_"&amp;SUBSTITUTE(G68," ","-")&amp;"_"&amp;TEXT(F68,"0")&amp;".jpg")</f>
        <v>Ch5_055_Medium_636.jpg</v>
      </c>
    </row>
    <row r="69" spans="1:10" ht="12.75" customHeight="1" x14ac:dyDescent="0.25">
      <c r="A69" s="2"/>
      <c r="B69" s="2"/>
      <c r="C69" s="6" t="s">
        <v>11</v>
      </c>
      <c r="D69" s="9">
        <v>1.0019</v>
      </c>
      <c r="E69" s="9">
        <v>235.15486115625299</v>
      </c>
      <c r="F69" s="11">
        <v>2347.0891421923602</v>
      </c>
      <c r="G69" s="12" t="str">
        <f>IF(NOT(ISNUMBER(F69)),"",IF(F69&lt;Bands!$B$4,"Low",IF(F69&lt;Bands!$B$5,"Medium",IF(F69&lt;Bands!$B$6,"High","Very high"))))</f>
        <v>Very high</v>
      </c>
      <c r="H69" s="12" t="str">
        <f>IF(G69="","",IFERROR(INDEX(Bands!$D$3:$D$6,MATCH(G69,Bands!$A$3:$A$6,0)),""))</f>
        <v>Deep golden-brown to medium brown with a reddish tone; edges darkest, centre golden or light brown</v>
      </c>
      <c r="I69" s="12" t="str">
        <f>IF(G69="","",IFERROR(INDEX(Bands!$J$3:$J$6,MATCH(G69,Bands!$A$3:$A$6,0)),""))</f>
        <v>Not pale yellow, which would match a low value, or black and burnt, since very dark chips can have lower acrylamide.</v>
      </c>
      <c r="J69" s="12" t="str">
        <f>IF(G69="","","Ch5_"&amp;TEXT(COUNT($F$2:F69),"000")&amp;"_"&amp;SUBSTITUTE(G69," ","-")&amp;"_"&amp;TEXT(F69,"0")&amp;".jpg")</f>
        <v>Ch5_056_Very-high_2347.jpg</v>
      </c>
    </row>
    <row r="70" spans="1:10" ht="12.75" customHeight="1" x14ac:dyDescent="0.25">
      <c r="A70" s="2"/>
      <c r="B70" s="2"/>
      <c r="C70" s="6" t="s">
        <v>12</v>
      </c>
      <c r="D70" s="9">
        <v>1.0032000000000001</v>
      </c>
      <c r="E70" s="9">
        <v>37.417419389530103</v>
      </c>
      <c r="F70" s="11">
        <v>372.98065579675102</v>
      </c>
      <c r="G70" s="12" t="str">
        <f>IF(NOT(ISNUMBER(F70)),"",IF(F70&lt;Bands!$B$4,"Low",IF(F70&lt;Bands!$B$5,"Medium",IF(F70&lt;Bands!$B$6,"High","Very high"))))</f>
        <v>Low</v>
      </c>
      <c r="H70" s="12" t="str">
        <f>IF(G70="","",IFERROR(INDEX(Bands!$D$3:$D$6,MATCH(G70,Bands!$A$3:$A$6,0)),""))</f>
        <v>Pale yellow to light golden, even colour, no brown spots</v>
      </c>
      <c r="I70" s="12" t="str">
        <f>IF(G70="","",IFERROR(INDEX(Bands!$J$3:$J$6,MATCH(G70,Bands!$A$3:$A$6,0)),""))</f>
        <v>Not deep golden-brown or reddish-brown (those match higher values). Avoid black or burnt chips.</v>
      </c>
      <c r="J70" s="12" t="str">
        <f>IF(G70="","","Ch5_"&amp;TEXT(COUNT($F$2:F70),"000")&amp;"_"&amp;SUBSTITUTE(G70," ","-")&amp;"_"&amp;TEXT(F70,"0")&amp;".jpg")</f>
        <v>Ch5_057_Low_373.jpg</v>
      </c>
    </row>
    <row r="71" spans="1:10" ht="12.75" customHeight="1" x14ac:dyDescent="0.25">
      <c r="A71" s="2"/>
      <c r="B71" s="2"/>
      <c r="C71" s="6" t="s">
        <v>13</v>
      </c>
      <c r="D71" s="9">
        <v>1.0004999999999999</v>
      </c>
      <c r="E71" s="9">
        <v>181.54761407991799</v>
      </c>
      <c r="F71" s="11">
        <v>1814.568856371</v>
      </c>
      <c r="G71" s="12" t="str">
        <f>IF(NOT(ISNUMBER(F71)),"",IF(F71&lt;Bands!$B$4,"Low",IF(F71&lt;Bands!$B$5,"Medium",IF(F71&lt;Bands!$B$6,"High","Very high"))))</f>
        <v>High</v>
      </c>
      <c r="H71" s="12" t="str">
        <f>IF(G71="","",IFERROR(INDEX(Bands!$D$3:$D$6,MATCH(G71,Bands!$A$3:$A$6,0)),""))</f>
        <v>Golden-brown with a reddish tint, brown edges, somewhat uneven</v>
      </c>
      <c r="I71" s="12" t="str">
        <f>IF(G71="","",IFERROR(INDEX(Bands!$J$3:$J$6,MATCH(G71,Bands!$A$3:$A$6,0)),""))</f>
        <v>Not pale yellow, which would match a low value. Not black or burnt, since very dark chips can have lower acrylamide.</v>
      </c>
      <c r="J71" s="12" t="str">
        <f>IF(G71="","","Ch5_"&amp;TEXT(COUNT($F$2:F71),"000")&amp;"_"&amp;SUBSTITUTE(G71," ","-")&amp;"_"&amp;TEXT(F71,"0")&amp;".jpg")</f>
        <v>Ch5_058_High_1815.jpg</v>
      </c>
    </row>
    <row r="72" spans="1:10" ht="12.75" customHeight="1" x14ac:dyDescent="0.25">
      <c r="A72" s="2"/>
      <c r="B72" s="2"/>
      <c r="C72" s="6" t="s">
        <v>14</v>
      </c>
      <c r="D72" s="9">
        <v>1.0012000000000001</v>
      </c>
      <c r="E72" s="9">
        <v>80.820289712336901</v>
      </c>
      <c r="F72" s="11">
        <v>807.23421606409204</v>
      </c>
      <c r="G72" s="12" t="str">
        <f>IF(NOT(ISNUMBER(F72)),"",IF(F72&lt;Bands!$B$4,"Low",IF(F72&lt;Bands!$B$5,"Medium",IF(F72&lt;Bands!$B$6,"High","Very high"))))</f>
        <v>Medium</v>
      </c>
      <c r="H72" s="12" t="str">
        <f>IF(G72="","",IFERROR(INDEX(Bands!$D$3:$D$6,MATCH(G72,Bands!$A$3:$A$6,0)),""))</f>
        <v>Golden yellow with light brown at some edges or small spots</v>
      </c>
      <c r="I72" s="12" t="str">
        <f>IF(G72="","",IFERROR(INDEX(Bands!$J$3:$J$6,MATCH(G72,Bands!$A$3:$A$6,0)),""))</f>
        <v>Not pale yellow (matches a low value) and not deep reddish-brown (matches a high value). Avoid black or burnt chips.</v>
      </c>
      <c r="J72" s="12" t="str">
        <f>IF(G72="","","Ch5_"&amp;TEXT(COUNT($F$2:F72),"000")&amp;"_"&amp;SUBSTITUTE(G72," ","-")&amp;"_"&amp;TEXT(F72,"0")&amp;".jpg")</f>
        <v>Ch5_059_Medium_807.jpg</v>
      </c>
    </row>
    <row r="73" spans="1:10" ht="12.75" customHeight="1" x14ac:dyDescent="0.25">
      <c r="A73" s="2"/>
      <c r="B73" s="2"/>
      <c r="C73" s="6" t="s">
        <v>15</v>
      </c>
      <c r="D73" s="9">
        <v>1.0016</v>
      </c>
      <c r="E73" s="9">
        <v>178.04694934243599</v>
      </c>
      <c r="F73" s="11">
        <v>1777.6252929556299</v>
      </c>
      <c r="G73" s="12" t="str">
        <f>IF(NOT(ISNUMBER(F73)),"",IF(F73&lt;Bands!$B$4,"Low",IF(F73&lt;Bands!$B$5,"Medium",IF(F73&lt;Bands!$B$6,"High","Very high"))))</f>
        <v>High</v>
      </c>
      <c r="H73" s="12" t="str">
        <f>IF(G73="","",IFERROR(INDEX(Bands!$D$3:$D$6,MATCH(G73,Bands!$A$3:$A$6,0)),""))</f>
        <v>Golden-brown with a reddish tint, brown edges, somewhat uneven</v>
      </c>
      <c r="I73" s="12" t="str">
        <f>IF(G73="","",IFERROR(INDEX(Bands!$J$3:$J$6,MATCH(G73,Bands!$A$3:$A$6,0)),""))</f>
        <v>Not pale yellow, which would match a low value. Not black or burnt, since very dark chips can have lower acrylamide.</v>
      </c>
      <c r="J73" s="12" t="str">
        <f>IF(G73="","","Ch5_"&amp;TEXT(COUNT($F$2:F73),"000")&amp;"_"&amp;SUBSTITUTE(G73," ","-")&amp;"_"&amp;TEXT(F73,"0")&amp;".jpg")</f>
        <v>Ch5_060_High_1778.jpg</v>
      </c>
    </row>
    <row r="74" spans="1:10" ht="12.75" customHeight="1" x14ac:dyDescent="0.25">
      <c r="A74" s="2"/>
      <c r="D74" s="9"/>
      <c r="E74" s="9"/>
      <c r="F74" s="11"/>
    </row>
    <row r="75" spans="1:10" ht="12.75" customHeight="1" x14ac:dyDescent="0.25">
      <c r="A75" s="2"/>
      <c r="B75" s="2" t="s">
        <v>102</v>
      </c>
      <c r="C75" s="6" t="s">
        <v>10</v>
      </c>
      <c r="D75" s="9">
        <v>1.0041</v>
      </c>
      <c r="E75" s="9">
        <v>156.55055634626299</v>
      </c>
      <c r="F75" s="11">
        <v>1559.11319934531</v>
      </c>
      <c r="G75" s="12" t="str">
        <f>IF(NOT(ISNUMBER(F75)),"",IF(F75&lt;Bands!$B$4,"Low",IF(F75&lt;Bands!$B$5,"Medium",IF(F75&lt;Bands!$B$6,"High","Very high"))))</f>
        <v>High</v>
      </c>
      <c r="H75" s="12" t="str">
        <f>IF(G75="","",IFERROR(INDEX(Bands!$D$3:$D$6,MATCH(G75,Bands!$A$3:$A$6,0)),""))</f>
        <v>Golden-brown with a reddish tint, brown edges, somewhat uneven</v>
      </c>
      <c r="I75" s="12" t="str">
        <f>IF(G75="","",IFERROR(INDEX(Bands!$J$3:$J$6,MATCH(G75,Bands!$A$3:$A$6,0)),""))</f>
        <v>Not pale yellow, which would match a low value. Not black or burnt, since very dark chips can have lower acrylamide.</v>
      </c>
      <c r="J75" s="12" t="str">
        <f>IF(G75="","","Ch5_"&amp;TEXT(COUNT($F$2:F75),"000")&amp;"_"&amp;SUBSTITUTE(G75," ","-")&amp;"_"&amp;TEXT(F75,"0")&amp;".jpg")</f>
        <v>Ch5_061_High_1559.jpg</v>
      </c>
    </row>
    <row r="76" spans="1:10" ht="12.75" customHeight="1" x14ac:dyDescent="0.25">
      <c r="A76" s="2"/>
      <c r="B76" s="2"/>
      <c r="C76" s="6" t="s">
        <v>11</v>
      </c>
      <c r="D76" s="9">
        <v>1.0033000000000001</v>
      </c>
      <c r="E76" s="9">
        <v>89.894041547095796</v>
      </c>
      <c r="F76" s="11">
        <v>895.98366936206298</v>
      </c>
      <c r="G76" s="12" t="str">
        <f>IF(NOT(ISNUMBER(F76)),"",IF(F76&lt;Bands!$B$4,"Low",IF(F76&lt;Bands!$B$5,"Medium",IF(F76&lt;Bands!$B$6,"High","Very high"))))</f>
        <v>Medium</v>
      </c>
      <c r="H76" s="12" t="str">
        <f>IF(G76="","",IFERROR(INDEX(Bands!$D$3:$D$6,MATCH(G76,Bands!$A$3:$A$6,0)),""))</f>
        <v>Golden yellow with light brown at some edges or small spots</v>
      </c>
      <c r="I76" s="12" t="str">
        <f>IF(G76="","",IFERROR(INDEX(Bands!$J$3:$J$6,MATCH(G76,Bands!$A$3:$A$6,0)),""))</f>
        <v>Not pale yellow (matches a low value) and not deep reddish-brown (matches a high value). Avoid black or burnt chips.</v>
      </c>
      <c r="J76" s="12" t="str">
        <f>IF(G76="","","Ch5_"&amp;TEXT(COUNT($F$2:F76),"000")&amp;"_"&amp;SUBSTITUTE(G76," ","-")&amp;"_"&amp;TEXT(F76,"0")&amp;".jpg")</f>
        <v>Ch5_062_Medium_896.jpg</v>
      </c>
    </row>
    <row r="77" spans="1:10" ht="12.75" customHeight="1" x14ac:dyDescent="0.25">
      <c r="A77" s="2"/>
      <c r="B77" s="2"/>
      <c r="C77" s="6" t="s">
        <v>12</v>
      </c>
      <c r="D77" s="9">
        <v>1.0117</v>
      </c>
      <c r="E77" s="9">
        <v>143.53171860730501</v>
      </c>
      <c r="F77" s="11">
        <v>1418.7181833281099</v>
      </c>
      <c r="G77" s="12" t="str">
        <f>IF(NOT(ISNUMBER(F77)),"",IF(F77&lt;Bands!$B$4,"Low",IF(F77&lt;Bands!$B$5,"Medium",IF(F77&lt;Bands!$B$6,"High","Very high"))))</f>
        <v>High</v>
      </c>
      <c r="H77" s="12" t="str">
        <f>IF(G77="","",IFERROR(INDEX(Bands!$D$3:$D$6,MATCH(G77,Bands!$A$3:$A$6,0)),""))</f>
        <v>Golden-brown with a reddish tint, brown edges, somewhat uneven</v>
      </c>
      <c r="I77" s="12" t="str">
        <f>IF(G77="","",IFERROR(INDEX(Bands!$J$3:$J$6,MATCH(G77,Bands!$A$3:$A$6,0)),""))</f>
        <v>Not pale yellow, which would match a low value. Not black or burnt, since very dark chips can have lower acrylamide.</v>
      </c>
      <c r="J77" s="12" t="str">
        <f>IF(G77="","","Ch5_"&amp;TEXT(COUNT($F$2:F77),"000")&amp;"_"&amp;SUBSTITUTE(G77," ","-")&amp;"_"&amp;TEXT(F77,"0")&amp;".jpg")</f>
        <v>Ch5_063_High_1419.jpg</v>
      </c>
    </row>
    <row r="78" spans="1:10" ht="12.75" customHeight="1" x14ac:dyDescent="0.25">
      <c r="A78" s="2"/>
      <c r="B78" s="2"/>
      <c r="C78" s="6" t="s">
        <v>13</v>
      </c>
      <c r="D78" s="9">
        <v>1.0103</v>
      </c>
      <c r="E78" s="9">
        <v>108.584386702725</v>
      </c>
      <c r="F78" s="11">
        <v>1074.7736979384799</v>
      </c>
      <c r="G78" s="12" t="str">
        <f>IF(NOT(ISNUMBER(F78)),"",IF(F78&lt;Bands!$B$4,"Low",IF(F78&lt;Bands!$B$5,"Medium",IF(F78&lt;Bands!$B$6,"High","Very high"))))</f>
        <v>High</v>
      </c>
      <c r="H78" s="12" t="str">
        <f>IF(G78="","",IFERROR(INDEX(Bands!$D$3:$D$6,MATCH(G78,Bands!$A$3:$A$6,0)),""))</f>
        <v>Golden-brown with a reddish tint, brown edges, somewhat uneven</v>
      </c>
      <c r="I78" s="12" t="str">
        <f>IF(G78="","",IFERROR(INDEX(Bands!$J$3:$J$6,MATCH(G78,Bands!$A$3:$A$6,0)),""))</f>
        <v>Not pale yellow, which would match a low value. Not black or burnt, since very dark chips can have lower acrylamide.</v>
      </c>
      <c r="J78" s="12" t="str">
        <f>IF(G78="","","Ch5_"&amp;TEXT(COUNT($F$2:F78),"000")&amp;"_"&amp;SUBSTITUTE(G78," ","-")&amp;"_"&amp;TEXT(F78,"0")&amp;".jpg")</f>
        <v>Ch5_064_High_1075.jpg</v>
      </c>
    </row>
    <row r="79" spans="1:10" ht="12.75" customHeight="1" x14ac:dyDescent="0.25">
      <c r="A79" s="2"/>
      <c r="B79" s="2"/>
      <c r="C79" s="6" t="s">
        <v>14</v>
      </c>
      <c r="D79" s="9">
        <v>1.006</v>
      </c>
      <c r="E79" s="9">
        <v>271.248230551164</v>
      </c>
      <c r="F79" s="11">
        <v>2696.3044786398</v>
      </c>
      <c r="G79" s="12" t="str">
        <f>IF(NOT(ISNUMBER(F79)),"",IF(F79&lt;Bands!$B$4,"Low",IF(F79&lt;Bands!$B$5,"Medium",IF(F79&lt;Bands!$B$6,"High","Very high"))))</f>
        <v>Very high</v>
      </c>
      <c r="H79" s="12" t="str">
        <f>IF(G79="","",IFERROR(INDEX(Bands!$D$3:$D$6,MATCH(G79,Bands!$A$3:$A$6,0)),""))</f>
        <v>Deep golden-brown to medium brown with a reddish tone; edges darkest, centre golden or light brown</v>
      </c>
      <c r="I79" s="12" t="str">
        <f>IF(G79="","",IFERROR(INDEX(Bands!$J$3:$J$6,MATCH(G79,Bands!$A$3:$A$6,0)),""))</f>
        <v>Not pale yellow, which would match a low value, or black and burnt, since very dark chips can have lower acrylamide.</v>
      </c>
      <c r="J79" s="12" t="str">
        <f>IF(G79="","","Ch5_"&amp;TEXT(COUNT($F$2:F79),"000")&amp;"_"&amp;SUBSTITUTE(G79," ","-")&amp;"_"&amp;TEXT(F79,"0")&amp;".jpg")</f>
        <v>Ch5_065_Very-high_2696.jpg</v>
      </c>
    </row>
    <row r="80" spans="1:10" ht="12.75" customHeight="1" x14ac:dyDescent="0.25">
      <c r="A80" s="2"/>
      <c r="B80" s="2"/>
      <c r="C80" s="6" t="s">
        <v>15</v>
      </c>
      <c r="D80" s="9">
        <v>1.0006999999999999</v>
      </c>
      <c r="E80" s="9">
        <v>90.062724695210306</v>
      </c>
      <c r="F80" s="11">
        <v>899.99724887788898</v>
      </c>
      <c r="G80" s="12" t="str">
        <f>IF(NOT(ISNUMBER(F80)),"",IF(F80&lt;Bands!$B$4,"Low",IF(F80&lt;Bands!$B$5,"Medium",IF(F80&lt;Bands!$B$6,"High","Very high"))))</f>
        <v>Medium</v>
      </c>
      <c r="H80" s="12" t="str">
        <f>IF(G80="","",IFERROR(INDEX(Bands!$D$3:$D$6,MATCH(G80,Bands!$A$3:$A$6,0)),""))</f>
        <v>Golden yellow with light brown at some edges or small spots</v>
      </c>
      <c r="I80" s="12" t="str">
        <f>IF(G80="","",IFERROR(INDEX(Bands!$J$3:$J$6,MATCH(G80,Bands!$A$3:$A$6,0)),""))</f>
        <v>Not pale yellow (matches a low value) and not deep reddish-brown (matches a high value). Avoid black or burnt chips.</v>
      </c>
      <c r="J80" s="12" t="str">
        <f>IF(G80="","","Ch5_"&amp;TEXT(COUNT($F$2:F80),"000")&amp;"_"&amp;SUBSTITUTE(G80," ","-")&amp;"_"&amp;TEXT(F80,"0")&amp;".jpg")</f>
        <v>Ch5_066_Medium_900.jpg</v>
      </c>
    </row>
    <row r="81" spans="1:10" ht="12.75" customHeight="1" x14ac:dyDescent="0.25">
      <c r="A81" s="2"/>
      <c r="D81" s="9"/>
      <c r="E81" s="9"/>
      <c r="F81" s="11"/>
    </row>
    <row r="82" spans="1:10" ht="12.75" customHeight="1" x14ac:dyDescent="0.25">
      <c r="A82" s="2"/>
      <c r="B82" s="2" t="s">
        <v>103</v>
      </c>
      <c r="C82" s="6" t="s">
        <v>10</v>
      </c>
      <c r="D82" s="9">
        <v>1.0121</v>
      </c>
      <c r="E82" s="9">
        <v>296.60012934640702</v>
      </c>
      <c r="F82" s="11">
        <v>2930.5417384290799</v>
      </c>
      <c r="G82" s="12" t="str">
        <f>IF(NOT(ISNUMBER(F82)),"",IF(F82&lt;Bands!$B$4,"Low",IF(F82&lt;Bands!$B$5,"Medium",IF(F82&lt;Bands!$B$6,"High","Very high"))))</f>
        <v>Very high</v>
      </c>
      <c r="H82" s="12" t="str">
        <f>IF(G82="","",IFERROR(INDEX(Bands!$D$3:$D$6,MATCH(G82,Bands!$A$3:$A$6,0)),""))</f>
        <v>Deep golden-brown to medium brown with a reddish tone; edges darkest, centre golden or light brown</v>
      </c>
      <c r="I82" s="12" t="str">
        <f>IF(G82="","",IFERROR(INDEX(Bands!$J$3:$J$6,MATCH(G82,Bands!$A$3:$A$6,0)),""))</f>
        <v>Not pale yellow, which would match a low value, or black and burnt, since very dark chips can have lower acrylamide.</v>
      </c>
      <c r="J82" s="12" t="str">
        <f>IF(G82="","","Ch5_"&amp;TEXT(COUNT($F$2:F82),"000")&amp;"_"&amp;SUBSTITUTE(G82," ","-")&amp;"_"&amp;TEXT(F82,"0")&amp;".jpg")</f>
        <v>Ch5_067_Very-high_2931.jpg</v>
      </c>
    </row>
    <row r="83" spans="1:10" ht="12.75" customHeight="1" x14ac:dyDescent="0.25">
      <c r="A83" s="2"/>
      <c r="B83" s="2"/>
      <c r="C83" s="6" t="s">
        <v>11</v>
      </c>
      <c r="D83" s="9">
        <v>1.0073000000000001</v>
      </c>
      <c r="E83" s="9">
        <v>398.521655660345</v>
      </c>
      <c r="F83" s="11">
        <v>3956.3353088488502</v>
      </c>
      <c r="G83" s="12" t="str">
        <f>IF(NOT(ISNUMBER(F83)),"",IF(F83&lt;Bands!$B$4,"Low",IF(F83&lt;Bands!$B$5,"Medium",IF(F83&lt;Bands!$B$6,"High","Very high"))))</f>
        <v>Very high</v>
      </c>
      <c r="H83" s="12" t="str">
        <f>IF(G83="","",IFERROR(INDEX(Bands!$D$3:$D$6,MATCH(G83,Bands!$A$3:$A$6,0)),""))</f>
        <v>Deep golden-brown to medium brown with a reddish tone; edges darkest, centre golden or light brown</v>
      </c>
      <c r="I83" s="12" t="str">
        <f>IF(G83="","",IFERROR(INDEX(Bands!$J$3:$J$6,MATCH(G83,Bands!$A$3:$A$6,0)),""))</f>
        <v>Not pale yellow, which would match a low value, or black and burnt, since very dark chips can have lower acrylamide.</v>
      </c>
      <c r="J83" s="12" t="str">
        <f>IF(G83="","","Ch5_"&amp;TEXT(COUNT($F$2:F83),"000")&amp;"_"&amp;SUBSTITUTE(G83," ","-")&amp;"_"&amp;TEXT(F83,"0")&amp;".jpg")</f>
        <v>Ch5_068_Very-high_3956.jpg</v>
      </c>
    </row>
    <row r="84" spans="1:10" ht="12.75" customHeight="1" x14ac:dyDescent="0.25">
      <c r="A84" s="2"/>
      <c r="B84" s="2"/>
      <c r="C84" s="6" t="s">
        <v>12</v>
      </c>
      <c r="D84" s="9">
        <v>1.0045999999999999</v>
      </c>
      <c r="E84" s="9">
        <v>57.752527715838099</v>
      </c>
      <c r="F84" s="11">
        <v>574.88082536171703</v>
      </c>
      <c r="G84" s="12" t="str">
        <f>IF(NOT(ISNUMBER(F84)),"",IF(F84&lt;Bands!$B$4,"Low",IF(F84&lt;Bands!$B$5,"Medium",IF(F84&lt;Bands!$B$6,"High","Very high"))))</f>
        <v>Medium</v>
      </c>
      <c r="H84" s="12" t="str">
        <f>IF(G84="","",IFERROR(INDEX(Bands!$D$3:$D$6,MATCH(G84,Bands!$A$3:$A$6,0)),""))</f>
        <v>Golden yellow with light brown at some edges or small spots</v>
      </c>
      <c r="I84" s="12" t="str">
        <f>IF(G84="","",IFERROR(INDEX(Bands!$J$3:$J$6,MATCH(G84,Bands!$A$3:$A$6,0)),""))</f>
        <v>Not pale yellow (matches a low value) and not deep reddish-brown (matches a high value). Avoid black or burnt chips.</v>
      </c>
      <c r="J84" s="12" t="str">
        <f>IF(G84="","","Ch5_"&amp;TEXT(COUNT($F$2:F84),"000")&amp;"_"&amp;SUBSTITUTE(G84," ","-")&amp;"_"&amp;TEXT(F84,"0")&amp;".jpg")</f>
        <v>Ch5_069_Medium_575.jpg</v>
      </c>
    </row>
    <row r="85" spans="1:10" ht="12.75" customHeight="1" x14ac:dyDescent="0.25">
      <c r="A85" s="2"/>
      <c r="B85" s="2"/>
      <c r="C85" s="6" t="s">
        <v>13</v>
      </c>
      <c r="D85" s="9">
        <v>1.0018</v>
      </c>
      <c r="E85" s="9">
        <v>208.32080736737899</v>
      </c>
      <c r="F85" s="11">
        <v>2079.4650366078999</v>
      </c>
      <c r="G85" s="12" t="str">
        <f>IF(NOT(ISNUMBER(F85)),"",IF(F85&lt;Bands!$B$4,"Low",IF(F85&lt;Bands!$B$5,"Medium",IF(F85&lt;Bands!$B$6,"High","Very high"))))</f>
        <v>Very high</v>
      </c>
      <c r="H85" s="12" t="str">
        <f>IF(G85="","",IFERROR(INDEX(Bands!$D$3:$D$6,MATCH(G85,Bands!$A$3:$A$6,0)),""))</f>
        <v>Deep golden-brown to medium brown with a reddish tone; edges darkest, centre golden or light brown</v>
      </c>
      <c r="I85" s="12" t="str">
        <f>IF(G85="","",IFERROR(INDEX(Bands!$J$3:$J$6,MATCH(G85,Bands!$A$3:$A$6,0)),""))</f>
        <v>Not pale yellow, which would match a low value, or black and burnt, since very dark chips can have lower acrylamide.</v>
      </c>
      <c r="J85" s="12" t="str">
        <f>IF(G85="","","Ch5_"&amp;TEXT(COUNT($F$2:F85),"000")&amp;"_"&amp;SUBSTITUTE(G85," ","-")&amp;"_"&amp;TEXT(F85,"0")&amp;".jpg")</f>
        <v>Ch5_070_Very-high_2079.jpg</v>
      </c>
    </row>
    <row r="86" spans="1:10" ht="12.75" customHeight="1" x14ac:dyDescent="0.25">
      <c r="A86" s="2"/>
      <c r="B86" s="2"/>
      <c r="C86" s="6" t="s">
        <v>14</v>
      </c>
      <c r="D86" s="9">
        <v>1.0093000000000001</v>
      </c>
      <c r="E86" s="9">
        <v>46.995892845484498</v>
      </c>
      <c r="F86" s="11">
        <v>465.628582636327</v>
      </c>
      <c r="G86" s="12" t="str">
        <f>IF(NOT(ISNUMBER(F86)),"",IF(F86&lt;Bands!$B$4,"Low",IF(F86&lt;Bands!$B$5,"Medium",IF(F86&lt;Bands!$B$6,"High","Very high"))))</f>
        <v>Low</v>
      </c>
      <c r="H86" s="12" t="str">
        <f>IF(G86="","",IFERROR(INDEX(Bands!$D$3:$D$6,MATCH(G86,Bands!$A$3:$A$6,0)),""))</f>
        <v>Pale yellow to light golden, even colour, no brown spots</v>
      </c>
      <c r="I86" s="12" t="str">
        <f>IF(G86="","",IFERROR(INDEX(Bands!$J$3:$J$6,MATCH(G86,Bands!$A$3:$A$6,0)),""))</f>
        <v>Not deep golden-brown or reddish-brown (those match higher values). Avoid black or burnt chips.</v>
      </c>
      <c r="J86" s="12" t="str">
        <f>IF(G86="","","Ch5_"&amp;TEXT(COUNT($F$2:F86),"000")&amp;"_"&amp;SUBSTITUTE(G86," ","-")&amp;"_"&amp;TEXT(F86,"0")&amp;".jpg")</f>
        <v>Ch5_071_Low_466.jpg</v>
      </c>
    </row>
    <row r="87" spans="1:10" ht="12.75" customHeight="1" x14ac:dyDescent="0.25">
      <c r="A87" s="2"/>
      <c r="B87" s="2"/>
      <c r="C87" s="6" t="s">
        <v>15</v>
      </c>
      <c r="D87" s="9">
        <v>1.0095000000000001</v>
      </c>
      <c r="E87" s="9">
        <v>45.035257681588597</v>
      </c>
      <c r="F87" s="11">
        <v>446.114489168783</v>
      </c>
      <c r="G87" s="12" t="str">
        <f>IF(NOT(ISNUMBER(F87)),"",IF(F87&lt;Bands!$B$4,"Low",IF(F87&lt;Bands!$B$5,"Medium",IF(F87&lt;Bands!$B$6,"High","Very high"))))</f>
        <v>Low</v>
      </c>
      <c r="H87" s="12" t="str">
        <f>IF(G87="","",IFERROR(INDEX(Bands!$D$3:$D$6,MATCH(G87,Bands!$A$3:$A$6,0)),""))</f>
        <v>Pale yellow to light golden, even colour, no brown spots</v>
      </c>
      <c r="I87" s="12" t="str">
        <f>IF(G87="","",IFERROR(INDEX(Bands!$J$3:$J$6,MATCH(G87,Bands!$A$3:$A$6,0)),""))</f>
        <v>Not deep golden-brown or reddish-brown (those match higher values). Avoid black or burnt chips.</v>
      </c>
      <c r="J87" s="12" t="str">
        <f>IF(G87="","","Ch5_"&amp;TEXT(COUNT($F$2:F87),"000")&amp;"_"&amp;SUBSTITUTE(G87," ","-")&amp;"_"&amp;TEXT(F87,"0")&amp;".jpg")</f>
        <v>Ch5_072_Low_446.jpg</v>
      </c>
    </row>
    <row r="88" spans="1:10" ht="12.75" customHeight="1" x14ac:dyDescent="0.25">
      <c r="A88" s="2"/>
      <c r="D88" s="9"/>
      <c r="E88" s="9"/>
      <c r="F88" s="11"/>
    </row>
    <row r="89" spans="1:10" ht="12.75" customHeight="1" x14ac:dyDescent="0.25">
      <c r="A89" s="2"/>
      <c r="B89" s="2" t="s">
        <v>104</v>
      </c>
      <c r="C89" s="6" t="s">
        <v>10</v>
      </c>
      <c r="D89" s="9">
        <v>1.0041</v>
      </c>
      <c r="E89" s="9">
        <v>255.21284228795801</v>
      </c>
      <c r="F89" s="11">
        <v>2541.70742244755</v>
      </c>
      <c r="G89" s="12" t="str">
        <f>IF(NOT(ISNUMBER(F89)),"",IF(F89&lt;Bands!$B$4,"Low",IF(F89&lt;Bands!$B$5,"Medium",IF(F89&lt;Bands!$B$6,"High","Very high"))))</f>
        <v>Very high</v>
      </c>
      <c r="H89" s="12" t="str">
        <f>IF(G89="","",IFERROR(INDEX(Bands!$D$3:$D$6,MATCH(G89,Bands!$A$3:$A$6,0)),""))</f>
        <v>Deep golden-brown to medium brown with a reddish tone; edges darkest, centre golden or light brown</v>
      </c>
      <c r="I89" s="12" t="str">
        <f>IF(G89="","",IFERROR(INDEX(Bands!$J$3:$J$6,MATCH(G89,Bands!$A$3:$A$6,0)),""))</f>
        <v>Not pale yellow, which would match a low value, or black and burnt, since very dark chips can have lower acrylamide.</v>
      </c>
      <c r="J89" s="12" t="str">
        <f>IF(G89="","","Ch5_"&amp;TEXT(COUNT($F$2:F89),"000")&amp;"_"&amp;SUBSTITUTE(G89," ","-")&amp;"_"&amp;TEXT(F89,"0")&amp;".jpg")</f>
        <v>Ch5_073_Very-high_2542.jpg</v>
      </c>
    </row>
    <row r="90" spans="1:10" ht="12.75" customHeight="1" x14ac:dyDescent="0.25">
      <c r="A90" s="2"/>
      <c r="B90" s="2"/>
      <c r="C90" s="6" t="s">
        <v>11</v>
      </c>
      <c r="D90" s="9">
        <v>1.0036</v>
      </c>
      <c r="E90" s="9">
        <v>83.118194684918095</v>
      </c>
      <c r="F90" s="11">
        <v>828.20042531803597</v>
      </c>
      <c r="G90" s="12" t="str">
        <f>IF(NOT(ISNUMBER(F90)),"",IF(F90&lt;Bands!$B$4,"Low",IF(F90&lt;Bands!$B$5,"Medium",IF(F90&lt;Bands!$B$6,"High","Very high"))))</f>
        <v>Medium</v>
      </c>
      <c r="H90" s="12" t="str">
        <f>IF(G90="","",IFERROR(INDEX(Bands!$D$3:$D$6,MATCH(G90,Bands!$A$3:$A$6,0)),""))</f>
        <v>Golden yellow with light brown at some edges or small spots</v>
      </c>
      <c r="I90" s="12" t="str">
        <f>IF(G90="","",IFERROR(INDEX(Bands!$J$3:$J$6,MATCH(G90,Bands!$A$3:$A$6,0)),""))</f>
        <v>Not pale yellow (matches a low value) and not deep reddish-brown (matches a high value). Avoid black or burnt chips.</v>
      </c>
      <c r="J90" s="12" t="str">
        <f>IF(G90="","","Ch5_"&amp;TEXT(COUNT($F$2:F90),"000")&amp;"_"&amp;SUBSTITUTE(G90," ","-")&amp;"_"&amp;TEXT(F90,"0")&amp;".jpg")</f>
        <v>Ch5_074_Medium_828.jpg</v>
      </c>
    </row>
    <row r="91" spans="1:10" ht="12.75" customHeight="1" x14ac:dyDescent="0.25">
      <c r="A91" s="2"/>
      <c r="B91" s="2"/>
      <c r="C91" s="6" t="s">
        <v>12</v>
      </c>
      <c r="D91" s="9">
        <v>1.0119</v>
      </c>
      <c r="E91" s="9">
        <v>608.63280392350396</v>
      </c>
      <c r="F91" s="11">
        <v>6014.7524846674996</v>
      </c>
      <c r="G91" s="12" t="str">
        <f>IF(NOT(ISNUMBER(F91)),"",IF(F91&lt;Bands!$B$4,"Low",IF(F91&lt;Bands!$B$5,"Medium",IF(F91&lt;Bands!$B$6,"High","Very high"))))</f>
        <v>Very high</v>
      </c>
      <c r="H91" s="12" t="str">
        <f>IF(G91="","",IFERROR(INDEX(Bands!$D$3:$D$6,MATCH(G91,Bands!$A$3:$A$6,0)),""))</f>
        <v>Deep golden-brown to medium brown with a reddish tone; edges darkest, centre golden or light brown</v>
      </c>
      <c r="I91" s="12" t="str">
        <f>IF(G91="","",IFERROR(INDEX(Bands!$J$3:$J$6,MATCH(G91,Bands!$A$3:$A$6,0)),""))</f>
        <v>Not pale yellow, which would match a low value, or black and burnt, since very dark chips can have lower acrylamide.</v>
      </c>
      <c r="J91" s="12" t="str">
        <f>IF(G91="","","Ch5_"&amp;TEXT(COUNT($F$2:F91),"000")&amp;"_"&amp;SUBSTITUTE(G91," ","-")&amp;"_"&amp;TEXT(F91,"0")&amp;".jpg")</f>
        <v>Ch5_075_Very-high_6015.jpg</v>
      </c>
    </row>
    <row r="92" spans="1:10" ht="12.75" customHeight="1" x14ac:dyDescent="0.25">
      <c r="A92" s="2"/>
      <c r="B92" s="2"/>
      <c r="C92" s="6" t="s">
        <v>13</v>
      </c>
      <c r="D92" s="9">
        <v>1.0096000000000001</v>
      </c>
      <c r="E92" s="9">
        <v>103.07398612806401</v>
      </c>
      <c r="F92" s="11">
        <v>1020.93884833661</v>
      </c>
      <c r="G92" s="12" t="str">
        <f>IF(NOT(ISNUMBER(F92)),"",IF(F92&lt;Bands!$B$4,"Low",IF(F92&lt;Bands!$B$5,"Medium",IF(F92&lt;Bands!$B$6,"High","Very high"))))</f>
        <v>High</v>
      </c>
      <c r="H92" s="12" t="str">
        <f>IF(G92="","",IFERROR(INDEX(Bands!$D$3:$D$6,MATCH(G92,Bands!$A$3:$A$6,0)),""))</f>
        <v>Golden-brown with a reddish tint, brown edges, somewhat uneven</v>
      </c>
      <c r="I92" s="12" t="str">
        <f>IF(G92="","",IFERROR(INDEX(Bands!$J$3:$J$6,MATCH(G92,Bands!$A$3:$A$6,0)),""))</f>
        <v>Not pale yellow, which would match a low value. Not black or burnt, since very dark chips can have lower acrylamide.</v>
      </c>
      <c r="J92" s="12" t="str">
        <f>IF(G92="","","Ch5_"&amp;TEXT(COUNT($F$2:F92),"000")&amp;"_"&amp;SUBSTITUTE(G92," ","-")&amp;"_"&amp;TEXT(F92,"0")&amp;".jpg")</f>
        <v>Ch5_076_High_1021.jpg</v>
      </c>
    </row>
    <row r="93" spans="1:10" ht="12.75" customHeight="1" x14ac:dyDescent="0.25">
      <c r="A93" s="2"/>
      <c r="B93" s="2"/>
      <c r="C93" s="6" t="s">
        <v>14</v>
      </c>
      <c r="D93" s="9">
        <v>1.0101</v>
      </c>
      <c r="E93" s="9">
        <v>78.005743190726506</v>
      </c>
      <c r="F93" s="11">
        <v>772.25762984582195</v>
      </c>
      <c r="G93" s="12" t="str">
        <f>IF(NOT(ISNUMBER(F93)),"",IF(F93&lt;Bands!$B$4,"Low",IF(F93&lt;Bands!$B$5,"Medium",IF(F93&lt;Bands!$B$6,"High","Very high"))))</f>
        <v>Medium</v>
      </c>
      <c r="H93" s="12" t="str">
        <f>IF(G93="","",IFERROR(INDEX(Bands!$D$3:$D$6,MATCH(G93,Bands!$A$3:$A$6,0)),""))</f>
        <v>Golden yellow with light brown at some edges or small spots</v>
      </c>
      <c r="I93" s="12" t="str">
        <f>IF(G93="","",IFERROR(INDEX(Bands!$J$3:$J$6,MATCH(G93,Bands!$A$3:$A$6,0)),""))</f>
        <v>Not pale yellow (matches a low value) and not deep reddish-brown (matches a high value). Avoid black or burnt chips.</v>
      </c>
      <c r="J93" s="12" t="str">
        <f>IF(G93="","","Ch5_"&amp;TEXT(COUNT($F$2:F93),"000")&amp;"_"&amp;SUBSTITUTE(G93," ","-")&amp;"_"&amp;TEXT(F93,"0")&amp;".jpg")</f>
        <v>Ch5_077_Medium_772.jpg</v>
      </c>
    </row>
    <row r="94" spans="1:10" ht="12.75" customHeight="1" x14ac:dyDescent="0.25">
      <c r="A94" s="2"/>
      <c r="B94" s="2"/>
      <c r="C94" s="6" t="s">
        <v>15</v>
      </c>
      <c r="D94" s="9">
        <v>1.0096000000000001</v>
      </c>
      <c r="E94" s="9">
        <v>110.02484338233501</v>
      </c>
      <c r="F94" s="11">
        <v>1089.7864835809701</v>
      </c>
      <c r="G94" s="12" t="str">
        <f>IF(NOT(ISNUMBER(F94)),"",IF(F94&lt;Bands!$B$4,"Low",IF(F94&lt;Bands!$B$5,"Medium",IF(F94&lt;Bands!$B$6,"High","Very high"))))</f>
        <v>High</v>
      </c>
      <c r="H94" s="12" t="str">
        <f>IF(G94="","",IFERROR(INDEX(Bands!$D$3:$D$6,MATCH(G94,Bands!$A$3:$A$6,0)),""))</f>
        <v>Golden-brown with a reddish tint, brown edges, somewhat uneven</v>
      </c>
      <c r="I94" s="12" t="str">
        <f>IF(G94="","",IFERROR(INDEX(Bands!$J$3:$J$6,MATCH(G94,Bands!$A$3:$A$6,0)),""))</f>
        <v>Not pale yellow, which would match a low value. Not black or burnt, since very dark chips can have lower acrylamide.</v>
      </c>
      <c r="J94" s="12" t="str">
        <f>IF(G94="","","Ch5_"&amp;TEXT(COUNT($F$2:F94),"000")&amp;"_"&amp;SUBSTITUTE(G94," ","-")&amp;"_"&amp;TEXT(F94,"0")&amp;".jpg")</f>
        <v>Ch5_078_High_1090.jpg</v>
      </c>
    </row>
    <row r="95" spans="1:10" ht="12.75" customHeight="1" x14ac:dyDescent="0.25">
      <c r="A95" s="7"/>
      <c r="B95" s="7"/>
      <c r="D95" s="9"/>
      <c r="E95" s="9"/>
      <c r="F95" s="11"/>
    </row>
    <row r="96" spans="1:10" ht="12.75" customHeight="1" x14ac:dyDescent="0.25">
      <c r="G96" s="6" t="s">
        <v>60</v>
      </c>
      <c r="H96" s="15" t="str">
        <f>IF(G96="","",IFERROR(INDEX(Bands!$D$3:$D$6,MATCH(G96,Bands!$A$3:$A$6,0)),""))</f>
        <v/>
      </c>
      <c r="I96" s="15" t="str">
        <f>IF(G96="","",IFERROR(INDEX(Bands!$J$3:$J$6,MATCH(G96,Bands!$A$3:$A$6,0)),""))</f>
        <v/>
      </c>
      <c r="J96" s="15" t="str">
        <f>IF(G96="","","Ch5_"&amp;TEXT(COUNT($F$2:F96),"000")&amp;"_"&amp;SUBSTITUTE(G96," ","-")&amp;"_"&amp;TEXT(F96,"0")&amp;".jpg")</f>
        <v>Ch5_078_Colour-parameters_0.jpg</v>
      </c>
    </row>
    <row r="97" spans="1:10" ht="12.75" customHeight="1" x14ac:dyDescent="0.25">
      <c r="A97" s="2" t="s">
        <v>105</v>
      </c>
      <c r="B97" s="2" t="s">
        <v>106</v>
      </c>
      <c r="C97" s="6" t="s">
        <v>10</v>
      </c>
      <c r="D97" s="3">
        <v>1.0388999999999999</v>
      </c>
      <c r="E97" s="9">
        <v>13.9755</v>
      </c>
      <c r="F97" s="11">
        <v>134.52209067282701</v>
      </c>
      <c r="G97" s="12" t="str">
        <f>IF(NOT(ISNUMBER(F97)),"",IF(F97&lt;Bands!$B$4,"Low",IF(F97&lt;Bands!$B$5,"Medium",IF(F97&lt;Bands!$B$6,"High","Very high"))))</f>
        <v>Low</v>
      </c>
      <c r="H97" s="16" t="str">
        <f>IF(G97="","",IFERROR(INDEX(Bands!$D$3:$D$6,MATCH(G97,Bands!$A$3:$A$6,0)),""))</f>
        <v>Pale yellow to light golden, even colour, no brown spots</v>
      </c>
      <c r="I97" s="16" t="str">
        <f>IF(G97="","",IFERROR(INDEX(Bands!$J$3:$J$6,MATCH(G97,Bands!$A$3:$A$6,0)),""))</f>
        <v>Not deep golden-brown or reddish-brown (those match higher values). Avoid black or burnt chips.</v>
      </c>
      <c r="J97" s="16" t="str">
        <f>IF(G97="","","Ch5_"&amp;TEXT(COUNT($F$2:F97),"000")&amp;"_"&amp;SUBSTITUTE(G97," ","-")&amp;"_"&amp;TEXT(F97,"0")&amp;".jpg")</f>
        <v>Ch5_079_Low_135.jpg</v>
      </c>
    </row>
    <row r="98" spans="1:10" ht="12.75" customHeight="1" x14ac:dyDescent="0.25">
      <c r="A98" s="2"/>
      <c r="B98" s="2"/>
      <c r="C98" s="6" t="s">
        <v>11</v>
      </c>
      <c r="D98" s="3">
        <v>0.98680000000000001</v>
      </c>
      <c r="E98" s="9">
        <v>14.8575</v>
      </c>
      <c r="F98" s="11">
        <v>150.56242399675699</v>
      </c>
      <c r="G98" s="12" t="str">
        <f>IF(NOT(ISNUMBER(F98)),"",IF(F98&lt;Bands!$B$4,"Low",IF(F98&lt;Bands!$B$5,"Medium",IF(F98&lt;Bands!$B$6,"High","Very high"))))</f>
        <v>Low</v>
      </c>
      <c r="H98" s="16" t="str">
        <f>IF(G98="","",IFERROR(INDEX(Bands!$D$3:$D$6,MATCH(G98,Bands!$A$3:$A$6,0)),""))</f>
        <v>Pale yellow to light golden, even colour, no brown spots</v>
      </c>
      <c r="I98" s="16" t="str">
        <f>IF(G98="","",IFERROR(INDEX(Bands!$J$3:$J$6,MATCH(G98,Bands!$A$3:$A$6,0)),""))</f>
        <v>Not deep golden-brown or reddish-brown (those match higher values). Avoid black or burnt chips.</v>
      </c>
      <c r="J98" s="16" t="str">
        <f>IF(G98="","","Ch5_"&amp;TEXT(COUNT($F$2:F98),"000")&amp;"_"&amp;SUBSTITUTE(G98," ","-")&amp;"_"&amp;TEXT(F98,"0")&amp;".jpg")</f>
        <v>Ch5_080_Low_151.jpg</v>
      </c>
    </row>
    <row r="99" spans="1:10" ht="12.75" customHeight="1" x14ac:dyDescent="0.25">
      <c r="A99" s="2"/>
      <c r="B99" s="2"/>
      <c r="C99" s="6" t="s">
        <v>12</v>
      </c>
      <c r="D99" s="3">
        <v>0.99580000000000002</v>
      </c>
      <c r="E99" s="9">
        <v>13.249499999999999</v>
      </c>
      <c r="F99" s="11">
        <v>133.053826069492</v>
      </c>
      <c r="G99" s="12" t="str">
        <f>IF(NOT(ISNUMBER(F99)),"",IF(F99&lt;Bands!$B$4,"Low",IF(F99&lt;Bands!$B$5,"Medium",IF(F99&lt;Bands!$B$6,"High","Very high"))))</f>
        <v>Low</v>
      </c>
      <c r="H99" s="16" t="str">
        <f>IF(G99="","",IFERROR(INDEX(Bands!$D$3:$D$6,MATCH(G99,Bands!$A$3:$A$6,0)),""))</f>
        <v>Pale yellow to light golden, even colour, no brown spots</v>
      </c>
      <c r="I99" s="16" t="str">
        <f>IF(G99="","",IFERROR(INDEX(Bands!$J$3:$J$6,MATCH(G99,Bands!$A$3:$A$6,0)),""))</f>
        <v>Not deep golden-brown or reddish-brown (those match higher values). Avoid black or burnt chips.</v>
      </c>
      <c r="J99" s="16" t="str">
        <f>IF(G99="","","Ch5_"&amp;TEXT(COUNT($F$2:F99),"000")&amp;"_"&amp;SUBSTITUTE(G99," ","-")&amp;"_"&amp;TEXT(F99,"0")&amp;".jpg")</f>
        <v>Ch5_081_Low_133.jpg</v>
      </c>
    </row>
    <row r="100" spans="1:10" ht="12.75" customHeight="1" x14ac:dyDescent="0.25">
      <c r="A100" s="2"/>
      <c r="E100" s="9"/>
      <c r="F100" s="11"/>
      <c r="H100" s="11"/>
      <c r="I100" s="11"/>
      <c r="J100" s="11"/>
    </row>
    <row r="101" spans="1:10" ht="12.75" customHeight="1" x14ac:dyDescent="0.25">
      <c r="A101" s="2"/>
      <c r="B101" s="2" t="s">
        <v>107</v>
      </c>
      <c r="C101" s="6" t="s">
        <v>10</v>
      </c>
      <c r="D101" s="3">
        <v>0.99680000000000002</v>
      </c>
      <c r="E101" s="9">
        <v>13.645</v>
      </c>
      <c r="F101" s="11">
        <v>136.888041733547</v>
      </c>
      <c r="G101" s="12" t="str">
        <f>IF(NOT(ISNUMBER(F101)),"",IF(F101&lt;Bands!$B$4,"Low",IF(F101&lt;Bands!$B$5,"Medium",IF(F101&lt;Bands!$B$6,"High","Very high"))))</f>
        <v>Low</v>
      </c>
      <c r="H101" s="16" t="str">
        <f>IF(G101="","",IFERROR(INDEX(Bands!$D$3:$D$6,MATCH(G101,Bands!$A$3:$A$6,0)),""))</f>
        <v>Pale yellow to light golden, even colour, no brown spots</v>
      </c>
      <c r="I101" s="16" t="str">
        <f>IF(G101="","",IFERROR(INDEX(Bands!$J$3:$J$6,MATCH(G101,Bands!$A$3:$A$6,0)),""))</f>
        <v>Not deep golden-brown or reddish-brown (those match higher values). Avoid black or burnt chips.</v>
      </c>
      <c r="J101" s="16" t="str">
        <f>IF(G101="","","Ch5_"&amp;TEXT(COUNT($F$2:F101),"000")&amp;"_"&amp;SUBSTITUTE(G101," ","-")&amp;"_"&amp;TEXT(F101,"0")&amp;".jpg")</f>
        <v>Ch5_082_Low_137.jpg</v>
      </c>
    </row>
    <row r="102" spans="1:10" ht="12.75" customHeight="1" x14ac:dyDescent="0.25">
      <c r="A102" s="2"/>
      <c r="B102" s="2"/>
      <c r="C102" s="6" t="s">
        <v>11</v>
      </c>
      <c r="D102" s="3">
        <v>1.0036</v>
      </c>
      <c r="E102" s="9">
        <v>15.0555</v>
      </c>
      <c r="F102" s="11">
        <v>150.014946193703</v>
      </c>
      <c r="G102" s="12" t="str">
        <f>IF(NOT(ISNUMBER(F102)),"",IF(F102&lt;Bands!$B$4,"Low",IF(F102&lt;Bands!$B$5,"Medium",IF(F102&lt;Bands!$B$6,"High","Very high"))))</f>
        <v>Low</v>
      </c>
      <c r="H102" s="16" t="str">
        <f>IF(G102="","",IFERROR(INDEX(Bands!$D$3:$D$6,MATCH(G102,Bands!$A$3:$A$6,0)),""))</f>
        <v>Pale yellow to light golden, even colour, no brown spots</v>
      </c>
      <c r="I102" s="16" t="str">
        <f>IF(G102="","",IFERROR(INDEX(Bands!$J$3:$J$6,MATCH(G102,Bands!$A$3:$A$6,0)),""))</f>
        <v>Not deep golden-brown or reddish-brown (those match higher values). Avoid black or burnt chips.</v>
      </c>
      <c r="J102" s="16" t="str">
        <f>IF(G102="","","Ch5_"&amp;TEXT(COUNT($F$2:F102),"000")&amp;"_"&amp;SUBSTITUTE(G102," ","-")&amp;"_"&amp;TEXT(F102,"0")&amp;".jpg")</f>
        <v>Ch5_083_Low_150.jpg</v>
      </c>
    </row>
    <row r="103" spans="1:10" ht="12.75" customHeight="1" x14ac:dyDescent="0.25">
      <c r="A103" s="2"/>
      <c r="B103" s="2"/>
      <c r="C103" s="6" t="s">
        <v>12</v>
      </c>
      <c r="D103" s="3">
        <v>1.0067999999999999</v>
      </c>
      <c r="E103" s="9">
        <v>17.548500000000001</v>
      </c>
      <c r="F103" s="11">
        <v>174.29976162097699</v>
      </c>
      <c r="G103" s="12" t="str">
        <f>IF(NOT(ISNUMBER(F103)),"",IF(F103&lt;Bands!$B$4,"Low",IF(F103&lt;Bands!$B$5,"Medium",IF(F103&lt;Bands!$B$6,"High","Very high"))))</f>
        <v>Low</v>
      </c>
      <c r="H103" s="16" t="str">
        <f>IF(G103="","",IFERROR(INDEX(Bands!$D$3:$D$6,MATCH(G103,Bands!$A$3:$A$6,0)),""))</f>
        <v>Pale yellow to light golden, even colour, no brown spots</v>
      </c>
      <c r="I103" s="16" t="str">
        <f>IF(G103="","",IFERROR(INDEX(Bands!$J$3:$J$6,MATCH(G103,Bands!$A$3:$A$6,0)),""))</f>
        <v>Not deep golden-brown or reddish-brown (those match higher values). Avoid black or burnt chips.</v>
      </c>
      <c r="J103" s="16" t="str">
        <f>IF(G103="","","Ch5_"&amp;TEXT(COUNT($F$2:F103),"000")&amp;"_"&amp;SUBSTITUTE(G103," ","-")&amp;"_"&amp;TEXT(F103,"0")&amp;".jpg")</f>
        <v>Ch5_084_Low_174.jpg</v>
      </c>
    </row>
    <row r="104" spans="1:10" ht="12.75" customHeight="1" x14ac:dyDescent="0.25">
      <c r="A104" s="2"/>
      <c r="E104" s="9"/>
      <c r="F104" s="11"/>
      <c r="H104" s="11"/>
      <c r="I104" s="11"/>
      <c r="J104" s="11"/>
    </row>
    <row r="105" spans="1:10" ht="12.75" customHeight="1" x14ac:dyDescent="0.25">
      <c r="A105" s="2"/>
      <c r="B105" s="2" t="s">
        <v>108</v>
      </c>
      <c r="C105" s="6" t="s">
        <v>10</v>
      </c>
      <c r="D105" s="3">
        <v>1.0044999999999999</v>
      </c>
      <c r="E105" s="9">
        <v>15.666</v>
      </c>
      <c r="F105" s="11">
        <v>155.95818815331</v>
      </c>
      <c r="G105" s="12" t="str">
        <f>IF(NOT(ISNUMBER(F105)),"",IF(F105&lt;Bands!$B$4,"Low",IF(F105&lt;Bands!$B$5,"Medium",IF(F105&lt;Bands!$B$6,"High","Very high"))))</f>
        <v>Low</v>
      </c>
      <c r="H105" s="16" t="str">
        <f>IF(G105="","",IFERROR(INDEX(Bands!$D$3:$D$6,MATCH(G105,Bands!$A$3:$A$6,0)),""))</f>
        <v>Pale yellow to light golden, even colour, no brown spots</v>
      </c>
      <c r="I105" s="16" t="str">
        <f>IF(G105="","",IFERROR(INDEX(Bands!$J$3:$J$6,MATCH(G105,Bands!$A$3:$A$6,0)),""))</f>
        <v>Not deep golden-brown or reddish-brown (those match higher values). Avoid black or burnt chips.</v>
      </c>
      <c r="J105" s="16" t="str">
        <f>IF(G105="","","Ch5_"&amp;TEXT(COUNT($F$2:F105),"000")&amp;"_"&amp;SUBSTITUTE(G105," ","-")&amp;"_"&amp;TEXT(F105,"0")&amp;".jpg")</f>
        <v>Ch5_085_Low_156.jpg</v>
      </c>
    </row>
    <row r="106" spans="1:10" ht="12.75" customHeight="1" x14ac:dyDescent="0.25">
      <c r="A106" s="2"/>
      <c r="B106" s="2"/>
      <c r="C106" s="6" t="s">
        <v>11</v>
      </c>
      <c r="D106" s="3">
        <v>1.0121</v>
      </c>
      <c r="E106" s="9">
        <v>16.236999999999998</v>
      </c>
      <c r="F106" s="11">
        <v>160.428811382275</v>
      </c>
      <c r="G106" s="12" t="str">
        <f>IF(NOT(ISNUMBER(F106)),"",IF(F106&lt;Bands!$B$4,"Low",IF(F106&lt;Bands!$B$5,"Medium",IF(F106&lt;Bands!$B$6,"High","Very high"))))</f>
        <v>Low</v>
      </c>
      <c r="H106" s="16" t="str">
        <f>IF(G106="","",IFERROR(INDEX(Bands!$D$3:$D$6,MATCH(G106,Bands!$A$3:$A$6,0)),""))</f>
        <v>Pale yellow to light golden, even colour, no brown spots</v>
      </c>
      <c r="I106" s="16" t="str">
        <f>IF(G106="","",IFERROR(INDEX(Bands!$J$3:$J$6,MATCH(G106,Bands!$A$3:$A$6,0)),""))</f>
        <v>Not deep golden-brown or reddish-brown (those match higher values). Avoid black or burnt chips.</v>
      </c>
      <c r="J106" s="16" t="str">
        <f>IF(G106="","","Ch5_"&amp;TEXT(COUNT($F$2:F106),"000")&amp;"_"&amp;SUBSTITUTE(G106," ","-")&amp;"_"&amp;TEXT(F106,"0")&amp;".jpg")</f>
        <v>Ch5_086_Low_160.jpg</v>
      </c>
    </row>
    <row r="107" spans="1:10" ht="12.75" customHeight="1" x14ac:dyDescent="0.25">
      <c r="A107" s="2"/>
      <c r="B107" s="2"/>
      <c r="C107" s="6" t="s">
        <v>12</v>
      </c>
      <c r="D107" s="3">
        <v>0.99470000000000003</v>
      </c>
      <c r="E107" s="9">
        <v>15.5905</v>
      </c>
      <c r="F107" s="11">
        <v>156.73569920579101</v>
      </c>
      <c r="G107" s="12" t="str">
        <f>IF(NOT(ISNUMBER(F107)),"",IF(F107&lt;Bands!$B$4,"Low",IF(F107&lt;Bands!$B$5,"Medium",IF(F107&lt;Bands!$B$6,"High","Very high"))))</f>
        <v>Low</v>
      </c>
      <c r="H107" s="16" t="str">
        <f>IF(G107="","",IFERROR(INDEX(Bands!$D$3:$D$6,MATCH(G107,Bands!$A$3:$A$6,0)),""))</f>
        <v>Pale yellow to light golden, even colour, no brown spots</v>
      </c>
      <c r="I107" s="16" t="str">
        <f>IF(G107="","",IFERROR(INDEX(Bands!$J$3:$J$6,MATCH(G107,Bands!$A$3:$A$6,0)),""))</f>
        <v>Not deep golden-brown or reddish-brown (those match higher values). Avoid black or burnt chips.</v>
      </c>
      <c r="J107" s="16" t="str">
        <f>IF(G107="","","Ch5_"&amp;TEXT(COUNT($F$2:F107),"000")&amp;"_"&amp;SUBSTITUTE(G107," ","-")&amp;"_"&amp;TEXT(F107,"0")&amp;".jpg")</f>
        <v>Ch5_087_Low_157.jpg</v>
      </c>
    </row>
    <row r="108" spans="1:10" ht="12.75" customHeight="1" x14ac:dyDescent="0.25">
      <c r="A108" s="2"/>
      <c r="E108" s="9"/>
      <c r="F108" s="11"/>
      <c r="H108" s="11"/>
      <c r="I108" s="11"/>
      <c r="J108" s="11"/>
    </row>
    <row r="109" spans="1:10" ht="12.75" customHeight="1" x14ac:dyDescent="0.25">
      <c r="A109" s="2"/>
      <c r="B109" s="2" t="s">
        <v>109</v>
      </c>
      <c r="C109" s="6" t="s">
        <v>10</v>
      </c>
      <c r="D109" s="3">
        <v>0.98909999999999998</v>
      </c>
      <c r="E109" s="9">
        <v>17.001999999999999</v>
      </c>
      <c r="F109" s="11">
        <v>171.89364068345</v>
      </c>
      <c r="G109" s="12" t="str">
        <f>IF(NOT(ISNUMBER(F109)),"",IF(F109&lt;Bands!$B$4,"Low",IF(F109&lt;Bands!$B$5,"Medium",IF(F109&lt;Bands!$B$6,"High","Very high"))))</f>
        <v>Low</v>
      </c>
      <c r="H109" s="16" t="str">
        <f>IF(G109="","",IFERROR(INDEX(Bands!$D$3:$D$6,MATCH(G109,Bands!$A$3:$A$6,0)),""))</f>
        <v>Pale yellow to light golden, even colour, no brown spots</v>
      </c>
      <c r="I109" s="16" t="str">
        <f>IF(G109="","",IFERROR(INDEX(Bands!$J$3:$J$6,MATCH(G109,Bands!$A$3:$A$6,0)),""))</f>
        <v>Not deep golden-brown or reddish-brown (those match higher values). Avoid black or burnt chips.</v>
      </c>
      <c r="J109" s="16" t="str">
        <f>IF(G109="","","Ch5_"&amp;TEXT(COUNT($F$2:F109),"000")&amp;"_"&amp;SUBSTITUTE(G109," ","-")&amp;"_"&amp;TEXT(F109,"0")&amp;".jpg")</f>
        <v>Ch5_088_Low_172.jpg</v>
      </c>
    </row>
    <row r="110" spans="1:10" ht="12.75" customHeight="1" x14ac:dyDescent="0.25">
      <c r="A110" s="2"/>
      <c r="B110" s="2"/>
      <c r="C110" s="6" t="s">
        <v>11</v>
      </c>
      <c r="D110" s="3">
        <v>0.98709999999999998</v>
      </c>
      <c r="E110" s="9">
        <v>16.219000000000001</v>
      </c>
      <c r="F110" s="11">
        <v>164.309593759498</v>
      </c>
      <c r="G110" s="12" t="str">
        <f>IF(NOT(ISNUMBER(F110)),"",IF(F110&lt;Bands!$B$4,"Low",IF(F110&lt;Bands!$B$5,"Medium",IF(F110&lt;Bands!$B$6,"High","Very high"))))</f>
        <v>Low</v>
      </c>
      <c r="H110" s="16" t="str">
        <f>IF(G110="","",IFERROR(INDEX(Bands!$D$3:$D$6,MATCH(G110,Bands!$A$3:$A$6,0)),""))</f>
        <v>Pale yellow to light golden, even colour, no brown spots</v>
      </c>
      <c r="I110" s="16" t="str">
        <f>IF(G110="","",IFERROR(INDEX(Bands!$J$3:$J$6,MATCH(G110,Bands!$A$3:$A$6,0)),""))</f>
        <v>Not deep golden-brown or reddish-brown (those match higher values). Avoid black or burnt chips.</v>
      </c>
      <c r="J110" s="16" t="str">
        <f>IF(G110="","","Ch5_"&amp;TEXT(COUNT($F$2:F110),"000")&amp;"_"&amp;SUBSTITUTE(G110," ","-")&amp;"_"&amp;TEXT(F110,"0")&amp;".jpg")</f>
        <v>Ch5_089_Low_164.jpg</v>
      </c>
    </row>
    <row r="111" spans="1:10" ht="12.75" customHeight="1" x14ac:dyDescent="0.25">
      <c r="A111" s="2"/>
      <c r="B111" s="2"/>
      <c r="C111" s="6" t="s">
        <v>12</v>
      </c>
      <c r="D111" s="3">
        <v>0.99180000000000001</v>
      </c>
      <c r="E111" s="9">
        <v>8.8420000000000005</v>
      </c>
      <c r="F111" s="11">
        <v>89.151038515829796</v>
      </c>
      <c r="G111" s="12" t="str">
        <f>IF(NOT(ISNUMBER(F111)),"",IF(F111&lt;Bands!$B$4,"Low",IF(F111&lt;Bands!$B$5,"Medium",IF(F111&lt;Bands!$B$6,"High","Very high"))))</f>
        <v>Low</v>
      </c>
      <c r="H111" s="16" t="str">
        <f>IF(G111="","",IFERROR(INDEX(Bands!$D$3:$D$6,MATCH(G111,Bands!$A$3:$A$6,0)),""))</f>
        <v>Pale yellow to light golden, even colour, no brown spots</v>
      </c>
      <c r="I111" s="16" t="str">
        <f>IF(G111="","",IFERROR(INDEX(Bands!$J$3:$J$6,MATCH(G111,Bands!$A$3:$A$6,0)),""))</f>
        <v>Not deep golden-brown or reddish-brown (those match higher values). Avoid black or burnt chips.</v>
      </c>
      <c r="J111" s="16" t="str">
        <f>IF(G111="","","Ch5_"&amp;TEXT(COUNT($F$2:F111),"000")&amp;"_"&amp;SUBSTITUTE(G111," ","-")&amp;"_"&amp;TEXT(F111,"0")&amp;".jpg")</f>
        <v>Ch5_090_Low_89.jpg</v>
      </c>
    </row>
    <row r="112" spans="1:10" ht="12.75" customHeight="1" x14ac:dyDescent="0.25">
      <c r="A112" s="13"/>
      <c r="E112" s="9"/>
      <c r="F112" s="11"/>
      <c r="H112" s="11"/>
      <c r="I112" s="11"/>
      <c r="J112" s="11"/>
    </row>
    <row r="113" spans="1:10" ht="12.75" customHeight="1" x14ac:dyDescent="0.25">
      <c r="A113" s="2" t="s">
        <v>110</v>
      </c>
      <c r="B113" s="2" t="s">
        <v>106</v>
      </c>
      <c r="C113" s="6" t="s">
        <v>10</v>
      </c>
      <c r="D113" s="3">
        <v>1.0004</v>
      </c>
      <c r="E113" s="9">
        <v>190.48150000000001</v>
      </c>
      <c r="F113" s="11">
        <v>1904.05337864854</v>
      </c>
      <c r="G113" s="12" t="str">
        <f>IF(NOT(ISNUMBER(F113)),"",IF(F113&lt;Bands!$B$4,"Low",IF(F113&lt;Bands!$B$5,"Medium",IF(F113&lt;Bands!$B$6,"High","Very high"))))</f>
        <v>High</v>
      </c>
      <c r="H113" s="16" t="str">
        <f>IF(G113="","",IFERROR(INDEX(Bands!$D$3:$D$6,MATCH(G113,Bands!$A$3:$A$6,0)),""))</f>
        <v>Golden-brown with a reddish tint, brown edges, somewhat uneven</v>
      </c>
      <c r="I113" s="16" t="str">
        <f>IF(G113="","",IFERROR(INDEX(Bands!$J$3:$J$6,MATCH(G113,Bands!$A$3:$A$6,0)),""))</f>
        <v>Not pale yellow, which would match a low value. Not black or burnt, since very dark chips can have lower acrylamide.</v>
      </c>
      <c r="J113" s="16" t="str">
        <f>IF(G113="","","Ch5_"&amp;TEXT(COUNT($F$2:F113),"000")&amp;"_"&amp;SUBSTITUTE(G113," ","-")&amp;"_"&amp;TEXT(F113,"0")&amp;".jpg")</f>
        <v>Ch5_091_High_1904.jpg</v>
      </c>
    </row>
    <row r="114" spans="1:10" ht="12.75" customHeight="1" x14ac:dyDescent="0.25">
      <c r="A114" s="2"/>
      <c r="B114" s="2"/>
      <c r="C114" s="6" t="s">
        <v>11</v>
      </c>
      <c r="D114" s="3">
        <v>0.97270000000000001</v>
      </c>
      <c r="E114" s="9">
        <v>213.1095</v>
      </c>
      <c r="F114" s="11">
        <v>2190.90675439498</v>
      </c>
      <c r="G114" s="12" t="str">
        <f>IF(NOT(ISNUMBER(F114)),"",IF(F114&lt;Bands!$B$4,"Low",IF(F114&lt;Bands!$B$5,"Medium",IF(F114&lt;Bands!$B$6,"High","Very high"))))</f>
        <v>Very high</v>
      </c>
      <c r="H114" s="16" t="str">
        <f>IF(G114="","",IFERROR(INDEX(Bands!$D$3:$D$6,MATCH(G114,Bands!$A$3:$A$6,0)),""))</f>
        <v>Deep golden-brown to medium brown with a reddish tone; edges darkest, centre golden or light brown</v>
      </c>
      <c r="I114" s="16" t="str">
        <f>IF(G114="","",IFERROR(INDEX(Bands!$J$3:$J$6,MATCH(G114,Bands!$A$3:$A$6,0)),""))</f>
        <v>Not pale yellow, which would match a low value, or black and burnt, since very dark chips can have lower acrylamide.</v>
      </c>
      <c r="J114" s="16" t="str">
        <f>IF(G114="","","Ch5_"&amp;TEXT(COUNT($F$2:F114),"000")&amp;"_"&amp;SUBSTITUTE(G114," ","-")&amp;"_"&amp;TEXT(F114,"0")&amp;".jpg")</f>
        <v>Ch5_092_Very-high_2191.jpg</v>
      </c>
    </row>
    <row r="115" spans="1:10" ht="12.75" customHeight="1" x14ac:dyDescent="0.25">
      <c r="A115" s="2"/>
      <c r="B115" s="2"/>
      <c r="C115" s="6" t="s">
        <v>12</v>
      </c>
      <c r="D115" s="3">
        <v>0.98019999999999996</v>
      </c>
      <c r="E115" s="9">
        <v>166.37200000000001</v>
      </c>
      <c r="F115" s="11">
        <v>1697.32707610692</v>
      </c>
      <c r="G115" s="12" t="str">
        <f>IF(NOT(ISNUMBER(F115)),"",IF(F115&lt;Bands!$B$4,"Low",IF(F115&lt;Bands!$B$5,"Medium",IF(F115&lt;Bands!$B$6,"High","Very high"))))</f>
        <v>High</v>
      </c>
      <c r="H115" s="16" t="str">
        <f>IF(G115="","",IFERROR(INDEX(Bands!$D$3:$D$6,MATCH(G115,Bands!$A$3:$A$6,0)),""))</f>
        <v>Golden-brown with a reddish tint, brown edges, somewhat uneven</v>
      </c>
      <c r="I115" s="16" t="str">
        <f>IF(G115="","",IFERROR(INDEX(Bands!$J$3:$J$6,MATCH(G115,Bands!$A$3:$A$6,0)),""))</f>
        <v>Not pale yellow, which would match a low value. Not black or burnt, since very dark chips can have lower acrylamide.</v>
      </c>
      <c r="J115" s="16" t="str">
        <f>IF(G115="","","Ch5_"&amp;TEXT(COUNT($F$2:F115),"000")&amp;"_"&amp;SUBSTITUTE(G115," ","-")&amp;"_"&amp;TEXT(F115,"0")&amp;".jpg")</f>
        <v>Ch5_093_High_1697.jpg</v>
      </c>
    </row>
    <row r="116" spans="1:10" ht="12.75" customHeight="1" x14ac:dyDescent="0.25">
      <c r="A116" s="2"/>
      <c r="E116" s="9"/>
      <c r="F116" s="11"/>
      <c r="H116" s="11"/>
      <c r="I116" s="11"/>
      <c r="J116" s="11"/>
    </row>
    <row r="117" spans="1:10" ht="12.75" customHeight="1" x14ac:dyDescent="0.25">
      <c r="A117" s="2"/>
      <c r="B117" s="2" t="s">
        <v>107</v>
      </c>
      <c r="C117" s="6" t="s">
        <v>10</v>
      </c>
      <c r="D117" s="3">
        <v>0.97560000000000002</v>
      </c>
      <c r="E117" s="9">
        <v>440.58949999999999</v>
      </c>
      <c r="F117" s="11">
        <v>4516.0875358753601</v>
      </c>
      <c r="G117" s="12" t="str">
        <f>IF(NOT(ISNUMBER(F117)),"",IF(F117&lt;Bands!$B$4,"Low",IF(F117&lt;Bands!$B$5,"Medium",IF(F117&lt;Bands!$B$6,"High","Very high"))))</f>
        <v>Very high</v>
      </c>
      <c r="H117" s="16" t="str">
        <f>IF(G117="","",IFERROR(INDEX(Bands!$D$3:$D$6,MATCH(G117,Bands!$A$3:$A$6,0)),""))</f>
        <v>Deep golden-brown to medium brown with a reddish tone; edges darkest, centre golden or light brown</v>
      </c>
      <c r="I117" s="16" t="str">
        <f>IF(G117="","",IFERROR(INDEX(Bands!$J$3:$J$6,MATCH(G117,Bands!$A$3:$A$6,0)),""))</f>
        <v>Not pale yellow, which would match a low value, or black and burnt, since very dark chips can have lower acrylamide.</v>
      </c>
      <c r="J117" s="16" t="str">
        <f>IF(G117="","","Ch5_"&amp;TEXT(COUNT($F$2:F117),"000")&amp;"_"&amp;SUBSTITUTE(G117," ","-")&amp;"_"&amp;TEXT(F117,"0")&amp;".jpg")</f>
        <v>Ch5_094_Very-high_4516.jpg</v>
      </c>
    </row>
    <row r="118" spans="1:10" ht="12.75" customHeight="1" x14ac:dyDescent="0.25">
      <c r="A118" s="2"/>
      <c r="B118" s="2"/>
      <c r="C118" s="6" t="s">
        <v>11</v>
      </c>
      <c r="D118" s="3">
        <v>1.0079</v>
      </c>
      <c r="E118" s="9">
        <v>580.95749999999998</v>
      </c>
      <c r="F118" s="11">
        <v>5764.0390911796803</v>
      </c>
      <c r="G118" s="12" t="str">
        <f>IF(NOT(ISNUMBER(F118)),"",IF(F118&lt;Bands!$B$4,"Low",IF(F118&lt;Bands!$B$5,"Medium",IF(F118&lt;Bands!$B$6,"High","Very high"))))</f>
        <v>Very high</v>
      </c>
      <c r="H118" s="16" t="str">
        <f>IF(G118="","",IFERROR(INDEX(Bands!$D$3:$D$6,MATCH(G118,Bands!$A$3:$A$6,0)),""))</f>
        <v>Deep golden-brown to medium brown with a reddish tone; edges darkest, centre golden or light brown</v>
      </c>
      <c r="I118" s="16" t="str">
        <f>IF(G118="","",IFERROR(INDEX(Bands!$J$3:$J$6,MATCH(G118,Bands!$A$3:$A$6,0)),""))</f>
        <v>Not pale yellow, which would match a low value, or black and burnt, since very dark chips can have lower acrylamide.</v>
      </c>
      <c r="J118" s="16" t="str">
        <f>IF(G118="","","Ch5_"&amp;TEXT(COUNT($F$2:F118),"000")&amp;"_"&amp;SUBSTITUTE(G118," ","-")&amp;"_"&amp;TEXT(F118,"0")&amp;".jpg")</f>
        <v>Ch5_095_Very-high_5764.jpg</v>
      </c>
    </row>
    <row r="119" spans="1:10" ht="12.75" customHeight="1" x14ac:dyDescent="0.25">
      <c r="A119" s="2"/>
      <c r="B119" s="2"/>
      <c r="C119" s="6" t="s">
        <v>12</v>
      </c>
      <c r="D119" s="3">
        <v>0.998</v>
      </c>
      <c r="E119" s="9">
        <v>384.73899999999998</v>
      </c>
      <c r="F119" s="11">
        <v>3855.1002004008001</v>
      </c>
      <c r="G119" s="12" t="str">
        <f>IF(NOT(ISNUMBER(F119)),"",IF(F119&lt;Bands!$B$4,"Low",IF(F119&lt;Bands!$B$5,"Medium",IF(F119&lt;Bands!$B$6,"High","Very high"))))</f>
        <v>Very high</v>
      </c>
      <c r="H119" s="16" t="str">
        <f>IF(G119="","",IFERROR(INDEX(Bands!$D$3:$D$6,MATCH(G119,Bands!$A$3:$A$6,0)),""))</f>
        <v>Deep golden-brown to medium brown with a reddish tone; edges darkest, centre golden or light brown</v>
      </c>
      <c r="I119" s="16" t="str">
        <f>IF(G119="","",IFERROR(INDEX(Bands!$J$3:$J$6,MATCH(G119,Bands!$A$3:$A$6,0)),""))</f>
        <v>Not pale yellow, which would match a low value, or black and burnt, since very dark chips can have lower acrylamide.</v>
      </c>
      <c r="J119" s="16" t="str">
        <f>IF(G119="","","Ch5_"&amp;TEXT(COUNT($F$2:F119),"000")&amp;"_"&amp;SUBSTITUTE(G119," ","-")&amp;"_"&amp;TEXT(F119,"0")&amp;".jpg")</f>
        <v>Ch5_096_Very-high_3855.jpg</v>
      </c>
    </row>
    <row r="120" spans="1:10" ht="12.75" customHeight="1" x14ac:dyDescent="0.25">
      <c r="A120" s="2"/>
      <c r="E120" s="9"/>
      <c r="F120" s="11"/>
      <c r="H120" s="11"/>
      <c r="I120" s="11"/>
      <c r="J120" s="11"/>
    </row>
    <row r="121" spans="1:10" ht="12.75" customHeight="1" x14ac:dyDescent="0.25">
      <c r="A121" s="2"/>
      <c r="B121" s="2" t="s">
        <v>108</v>
      </c>
      <c r="C121" s="6" t="s">
        <v>10</v>
      </c>
      <c r="D121" s="3">
        <v>0.99050000000000005</v>
      </c>
      <c r="E121" s="9">
        <v>435.017</v>
      </c>
      <c r="F121" s="11">
        <v>4391.8929833417496</v>
      </c>
      <c r="G121" s="12" t="str">
        <f>IF(NOT(ISNUMBER(F121)),"",IF(F121&lt;Bands!$B$4,"Low",IF(F121&lt;Bands!$B$5,"Medium",IF(F121&lt;Bands!$B$6,"High","Very high"))))</f>
        <v>Very high</v>
      </c>
      <c r="H121" s="16" t="str">
        <f>IF(G121="","",IFERROR(INDEX(Bands!$D$3:$D$6,MATCH(G121,Bands!$A$3:$A$6,0)),""))</f>
        <v>Deep golden-brown to medium brown with a reddish tone; edges darkest, centre golden or light brown</v>
      </c>
      <c r="I121" s="16" t="str">
        <f>IF(G121="","",IFERROR(INDEX(Bands!$J$3:$J$6,MATCH(G121,Bands!$A$3:$A$6,0)),""))</f>
        <v>Not pale yellow, which would match a low value, or black and burnt, since very dark chips can have lower acrylamide.</v>
      </c>
      <c r="J121" s="16" t="str">
        <f>IF(G121="","","Ch5_"&amp;TEXT(COUNT($F$2:F121),"000")&amp;"_"&amp;SUBSTITUTE(G121," ","-")&amp;"_"&amp;TEXT(F121,"0")&amp;".jpg")</f>
        <v>Ch5_097_Very-high_4392.jpg</v>
      </c>
    </row>
    <row r="122" spans="1:10" ht="12.75" customHeight="1" x14ac:dyDescent="0.25">
      <c r="A122" s="2"/>
      <c r="B122" s="2"/>
      <c r="C122" s="6" t="s">
        <v>11</v>
      </c>
      <c r="D122" s="3">
        <v>0.99180000000000001</v>
      </c>
      <c r="E122" s="9">
        <v>441.34949999999998</v>
      </c>
      <c r="F122" s="11">
        <v>4449.9848759830602</v>
      </c>
      <c r="G122" s="12" t="str">
        <f>IF(NOT(ISNUMBER(F122)),"",IF(F122&lt;Bands!$B$4,"Low",IF(F122&lt;Bands!$B$5,"Medium",IF(F122&lt;Bands!$B$6,"High","Very high"))))</f>
        <v>Very high</v>
      </c>
      <c r="H122" s="16" t="str">
        <f>IF(G122="","",IFERROR(INDEX(Bands!$D$3:$D$6,MATCH(G122,Bands!$A$3:$A$6,0)),""))</f>
        <v>Deep golden-brown to medium brown with a reddish tone; edges darkest, centre golden or light brown</v>
      </c>
      <c r="I122" s="16" t="str">
        <f>IF(G122="","",IFERROR(INDEX(Bands!$J$3:$J$6,MATCH(G122,Bands!$A$3:$A$6,0)),""))</f>
        <v>Not pale yellow, which would match a low value, or black and burnt, since very dark chips can have lower acrylamide.</v>
      </c>
      <c r="J122" s="16" t="str">
        <f>IF(G122="","","Ch5_"&amp;TEXT(COUNT($F$2:F122),"000")&amp;"_"&amp;SUBSTITUTE(G122," ","-")&amp;"_"&amp;TEXT(F122,"0")&amp;".jpg")</f>
        <v>Ch5_098_Very-high_4450.jpg</v>
      </c>
    </row>
    <row r="123" spans="1:10" ht="12.75" customHeight="1" x14ac:dyDescent="0.25">
      <c r="A123" s="2"/>
      <c r="B123" s="2"/>
      <c r="C123" s="6" t="s">
        <v>12</v>
      </c>
      <c r="D123" s="3">
        <v>0.97609999999999997</v>
      </c>
      <c r="E123" s="9">
        <v>384.11500000000001</v>
      </c>
      <c r="F123" s="11">
        <v>3935.2013113410499</v>
      </c>
      <c r="G123" s="12" t="str">
        <f>IF(NOT(ISNUMBER(F123)),"",IF(F123&lt;Bands!$B$4,"Low",IF(F123&lt;Bands!$B$5,"Medium",IF(F123&lt;Bands!$B$6,"High","Very high"))))</f>
        <v>Very high</v>
      </c>
      <c r="H123" s="16" t="str">
        <f>IF(G123="","",IFERROR(INDEX(Bands!$D$3:$D$6,MATCH(G123,Bands!$A$3:$A$6,0)),""))</f>
        <v>Deep golden-brown to medium brown with a reddish tone; edges darkest, centre golden or light brown</v>
      </c>
      <c r="I123" s="16" t="str">
        <f>IF(G123="","",IFERROR(INDEX(Bands!$J$3:$J$6,MATCH(G123,Bands!$A$3:$A$6,0)),""))</f>
        <v>Not pale yellow, which would match a low value, or black and burnt, since very dark chips can have lower acrylamide.</v>
      </c>
      <c r="J123" s="16" t="str">
        <f>IF(G123="","","Ch5_"&amp;TEXT(COUNT($F$2:F123),"000")&amp;"_"&amp;SUBSTITUTE(G123," ","-")&amp;"_"&amp;TEXT(F123,"0")&amp;".jpg")</f>
        <v>Ch5_099_Very-high_3935.jpg</v>
      </c>
    </row>
    <row r="124" spans="1:10" ht="12.75" customHeight="1" x14ac:dyDescent="0.25">
      <c r="A124" s="2"/>
      <c r="E124" s="9"/>
      <c r="F124" s="11"/>
      <c r="H124" s="11"/>
      <c r="I124" s="11"/>
      <c r="J124" s="11"/>
    </row>
    <row r="125" spans="1:10" ht="12.75" customHeight="1" x14ac:dyDescent="0.25">
      <c r="A125" s="2"/>
      <c r="B125" s="2" t="s">
        <v>109</v>
      </c>
      <c r="C125" s="6" t="s">
        <v>10</v>
      </c>
      <c r="D125" s="3">
        <v>1.0081</v>
      </c>
      <c r="E125" s="9">
        <v>275.58699999999999</v>
      </c>
      <c r="F125" s="11">
        <v>2733.72681281619</v>
      </c>
      <c r="G125" s="12" t="str">
        <f>IF(NOT(ISNUMBER(F125)),"",IF(F125&lt;Bands!$B$4,"Low",IF(F125&lt;Bands!$B$5,"Medium",IF(F125&lt;Bands!$B$6,"High","Very high"))))</f>
        <v>Very high</v>
      </c>
      <c r="H125" s="16" t="str">
        <f>IF(G125="","",IFERROR(INDEX(Bands!$D$3:$D$6,MATCH(G125,Bands!$A$3:$A$6,0)),""))</f>
        <v>Deep golden-brown to medium brown with a reddish tone; edges darkest, centre golden or light brown</v>
      </c>
      <c r="I125" s="16" t="str">
        <f>IF(G125="","",IFERROR(INDEX(Bands!$J$3:$J$6,MATCH(G125,Bands!$A$3:$A$6,0)),""))</f>
        <v>Not pale yellow, which would match a low value, or black and burnt, since very dark chips can have lower acrylamide.</v>
      </c>
      <c r="J125" s="16" t="str">
        <f>IF(G125="","","Ch5_"&amp;TEXT(COUNT($F$2:F125),"000")&amp;"_"&amp;SUBSTITUTE(G125," ","-")&amp;"_"&amp;TEXT(F125,"0")&amp;".jpg")</f>
        <v>Ch5_100_Very-high_2734.jpg</v>
      </c>
    </row>
    <row r="126" spans="1:10" ht="12.75" customHeight="1" x14ac:dyDescent="0.25">
      <c r="A126" s="2"/>
      <c r="B126" s="2"/>
      <c r="C126" s="6" t="s">
        <v>11</v>
      </c>
      <c r="D126" s="3">
        <v>1.0124</v>
      </c>
      <c r="E126" s="9">
        <v>239.559</v>
      </c>
      <c r="F126" s="11">
        <v>2366.2485183721901</v>
      </c>
      <c r="G126" s="12" t="str">
        <f>IF(NOT(ISNUMBER(F126)),"",IF(F126&lt;Bands!$B$4,"Low",IF(F126&lt;Bands!$B$5,"Medium",IF(F126&lt;Bands!$B$6,"High","Very high"))))</f>
        <v>Very high</v>
      </c>
      <c r="H126" s="16" t="str">
        <f>IF(G126="","",IFERROR(INDEX(Bands!$D$3:$D$6,MATCH(G126,Bands!$A$3:$A$6,0)),""))</f>
        <v>Deep golden-brown to medium brown with a reddish tone; edges darkest, centre golden or light brown</v>
      </c>
      <c r="I126" s="16" t="str">
        <f>IF(G126="","",IFERROR(INDEX(Bands!$J$3:$J$6,MATCH(G126,Bands!$A$3:$A$6,0)),""))</f>
        <v>Not pale yellow, which would match a low value, or black and burnt, since very dark chips can have lower acrylamide.</v>
      </c>
      <c r="J126" s="16" t="str">
        <f>IF(G126="","","Ch5_"&amp;TEXT(COUNT($F$2:F126),"000")&amp;"_"&amp;SUBSTITUTE(G126," ","-")&amp;"_"&amp;TEXT(F126,"0")&amp;".jpg")</f>
        <v>Ch5_101_Very-high_2366.jpg</v>
      </c>
    </row>
    <row r="127" spans="1:10" ht="12.75" customHeight="1" x14ac:dyDescent="0.25">
      <c r="A127" s="2"/>
      <c r="B127" s="2"/>
      <c r="C127" s="6" t="s">
        <v>12</v>
      </c>
      <c r="D127" s="3">
        <v>0.99870000000000003</v>
      </c>
      <c r="E127" s="9">
        <v>358.33449999999999</v>
      </c>
      <c r="F127" s="11">
        <v>3588.0094122359101</v>
      </c>
      <c r="G127" s="12" t="str">
        <f>IF(NOT(ISNUMBER(F127)),"",IF(F127&lt;Bands!$B$4,"Low",IF(F127&lt;Bands!$B$5,"Medium",IF(F127&lt;Bands!$B$6,"High","Very high"))))</f>
        <v>Very high</v>
      </c>
      <c r="H127" s="16" t="str">
        <f>IF(G127="","",IFERROR(INDEX(Bands!$D$3:$D$6,MATCH(G127,Bands!$A$3:$A$6,0)),""))</f>
        <v>Deep golden-brown to medium brown with a reddish tone; edges darkest, centre golden or light brown</v>
      </c>
      <c r="I127" s="16" t="str">
        <f>IF(G127="","",IFERROR(INDEX(Bands!$J$3:$J$6,MATCH(G127,Bands!$A$3:$A$6,0)),""))</f>
        <v>Not pale yellow, which would match a low value, or black and burnt, since very dark chips can have lower acrylamide.</v>
      </c>
      <c r="J127" s="16" t="str">
        <f>IF(G127="","","Ch5_"&amp;TEXT(COUNT($F$2:F127),"000")&amp;"_"&amp;SUBSTITUTE(G127," ","-")&amp;"_"&amp;TEXT(F127,"0")&amp;".jpg")</f>
        <v>Ch5_102_Very-high_3588.jpg</v>
      </c>
    </row>
  </sheetData>
  <mergeCells count="30">
    <mergeCell ref="A113:A127"/>
    <mergeCell ref="B113:B115"/>
    <mergeCell ref="B117:B119"/>
    <mergeCell ref="B121:B123"/>
    <mergeCell ref="B125:B127"/>
    <mergeCell ref="A97:A111"/>
    <mergeCell ref="B97:B99"/>
    <mergeCell ref="B101:B103"/>
    <mergeCell ref="B105:B107"/>
    <mergeCell ref="B109:B111"/>
    <mergeCell ref="A54:A94"/>
    <mergeCell ref="B54:B59"/>
    <mergeCell ref="B61:B66"/>
    <mergeCell ref="B68:B73"/>
    <mergeCell ref="B75:B80"/>
    <mergeCell ref="B82:B87"/>
    <mergeCell ref="B89:B94"/>
    <mergeCell ref="A38:A52"/>
    <mergeCell ref="B38:B40"/>
    <mergeCell ref="B42:B44"/>
    <mergeCell ref="B46:B48"/>
    <mergeCell ref="B50:B52"/>
    <mergeCell ref="A2:A20"/>
    <mergeCell ref="B2:B10"/>
    <mergeCell ref="B12:B20"/>
    <mergeCell ref="A22:A36"/>
    <mergeCell ref="B22:B24"/>
    <mergeCell ref="B26:B28"/>
    <mergeCell ref="B30:B32"/>
    <mergeCell ref="B34:B36"/>
  </mergeCells>
  <pageMargins left="0.7" right="0.7" top="0.75" bottom="0.75"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3"/>
  <sheetViews>
    <sheetView zoomScaleNormal="100" workbookViewId="0"/>
  </sheetViews>
  <sheetFormatPr defaultColWidth="8.6640625" defaultRowHeight="14.4" x14ac:dyDescent="0.3"/>
  <cols>
    <col min="1" max="1" width="14" customWidth="1"/>
    <col min="2" max="3" width="18" customWidth="1"/>
    <col min="4" max="4" width="60" customWidth="1"/>
    <col min="5" max="5" width="14" customWidth="1"/>
    <col min="6" max="7" width="16" customWidth="1"/>
    <col min="8" max="8" width="14" customWidth="1"/>
    <col min="9" max="9" width="10" customWidth="1"/>
    <col min="10" max="10" width="80" customWidth="1"/>
  </cols>
  <sheetData>
    <row r="1" spans="1:10" ht="15" customHeight="1" x14ac:dyDescent="0.3">
      <c r="A1" s="17" t="s">
        <v>111</v>
      </c>
    </row>
    <row r="2" spans="1:10" ht="42" customHeight="1" x14ac:dyDescent="0.3">
      <c r="A2" s="18" t="s">
        <v>112</v>
      </c>
      <c r="B2" s="18" t="s">
        <v>113</v>
      </c>
      <c r="C2" s="18" t="s">
        <v>114</v>
      </c>
      <c r="D2" s="18" t="s">
        <v>115</v>
      </c>
      <c r="E2" s="18" t="s">
        <v>116</v>
      </c>
      <c r="F2" s="18" t="s">
        <v>117</v>
      </c>
      <c r="G2" s="18" t="s">
        <v>118</v>
      </c>
      <c r="H2" s="18" t="s">
        <v>119</v>
      </c>
      <c r="I2" s="18" t="s">
        <v>120</v>
      </c>
      <c r="J2" s="18" t="s">
        <v>7</v>
      </c>
    </row>
    <row r="3" spans="1:10" ht="15" customHeight="1" x14ac:dyDescent="0.3">
      <c r="A3" s="12" t="s">
        <v>121</v>
      </c>
      <c r="B3" s="12">
        <v>0</v>
      </c>
      <c r="C3" s="12">
        <f>B4</f>
        <v>500</v>
      </c>
      <c r="D3" s="12" t="s">
        <v>122</v>
      </c>
      <c r="E3" s="12">
        <f>COUNTIF('Chapter 3'!$F$2:$F$329,A3)</f>
        <v>127</v>
      </c>
      <c r="F3" s="12">
        <f>COUNTIF('Chapter 4'!$W$2:$W$154,A3)</f>
        <v>78</v>
      </c>
      <c r="G3" s="12">
        <f>COUNTIF('Chapter 4'!$X$2:$X$154,A3)</f>
        <v>23</v>
      </c>
      <c r="H3" s="12">
        <f>COUNTIF('Chapter 5'!$G$2:$G$127,A3)</f>
        <v>15</v>
      </c>
      <c r="I3" s="12">
        <f>SUM(E3:H3)</f>
        <v>243</v>
      </c>
      <c r="J3" s="12" t="s">
        <v>123</v>
      </c>
    </row>
    <row r="4" spans="1:10" ht="15" customHeight="1" x14ac:dyDescent="0.3">
      <c r="A4" s="12" t="s">
        <v>124</v>
      </c>
      <c r="B4" s="19">
        <v>500</v>
      </c>
      <c r="C4" s="12">
        <f>B5</f>
        <v>1000</v>
      </c>
      <c r="D4" s="12" t="s">
        <v>125</v>
      </c>
      <c r="E4" s="12">
        <f>COUNTIF('Chapter 3'!$F$2:$F$329,A4)</f>
        <v>99</v>
      </c>
      <c r="F4" s="12">
        <f>COUNTIF('Chapter 4'!$W$2:$W$154,A4)</f>
        <v>25</v>
      </c>
      <c r="G4" s="12">
        <f>COUNTIF('Chapter 4'!$X$2:$X$154,A4)</f>
        <v>7</v>
      </c>
      <c r="H4" s="12">
        <f>COUNTIF('Chapter 5'!$G$2:$G$127,A4)</f>
        <v>28</v>
      </c>
      <c r="I4" s="12">
        <f>SUM(E4:H4)</f>
        <v>159</v>
      </c>
      <c r="J4" s="12" t="s">
        <v>126</v>
      </c>
    </row>
    <row r="5" spans="1:10" ht="15" customHeight="1" x14ac:dyDescent="0.3">
      <c r="A5" s="12" t="s">
        <v>127</v>
      </c>
      <c r="B5" s="19">
        <v>1000</v>
      </c>
      <c r="C5" s="12">
        <f>B6</f>
        <v>2000</v>
      </c>
      <c r="D5" s="12" t="s">
        <v>128</v>
      </c>
      <c r="E5" s="12">
        <f>COUNTIF('Chapter 3'!$F$2:$F$329,A5)</f>
        <v>56</v>
      </c>
      <c r="F5" s="12">
        <f>COUNTIF('Chapter 4'!$W$2:$W$154,A5)</f>
        <v>14</v>
      </c>
      <c r="G5" s="12">
        <f>COUNTIF('Chapter 4'!$X$2:$X$154,A5)</f>
        <v>3</v>
      </c>
      <c r="H5" s="12">
        <f>COUNTIF('Chapter 5'!$G$2:$G$127,A5)</f>
        <v>30</v>
      </c>
      <c r="I5" s="12">
        <f>SUM(E5:H5)</f>
        <v>103</v>
      </c>
      <c r="J5" s="12" t="s">
        <v>129</v>
      </c>
    </row>
    <row r="6" spans="1:10" ht="15" customHeight="1" x14ac:dyDescent="0.3">
      <c r="A6" s="12" t="s">
        <v>130</v>
      </c>
      <c r="B6" s="19">
        <v>2000</v>
      </c>
      <c r="C6" s="12" t="s">
        <v>131</v>
      </c>
      <c r="D6" s="12" t="s">
        <v>132</v>
      </c>
      <c r="E6" s="12">
        <f>COUNTIF('Chapter 3'!$F$2:$F$329,A6)</f>
        <v>29</v>
      </c>
      <c r="F6" s="12">
        <f>COUNTIF('Chapter 4'!$W$2:$W$154,A6)</f>
        <v>15</v>
      </c>
      <c r="G6" s="12">
        <f>COUNTIF('Chapter 4'!$X$2:$X$154,A6)</f>
        <v>3</v>
      </c>
      <c r="H6" s="12">
        <f>COUNTIF('Chapter 5'!$G$2:$G$127,A6)</f>
        <v>29</v>
      </c>
      <c r="I6" s="12">
        <f>SUM(E6:H6)</f>
        <v>76</v>
      </c>
      <c r="J6" s="12" t="s">
        <v>133</v>
      </c>
    </row>
    <row r="7" spans="1:10" ht="15" customHeight="1" x14ac:dyDescent="0.3">
      <c r="A7" s="20" t="s">
        <v>120</v>
      </c>
      <c r="E7" s="20">
        <f>SUM(E3:E6)</f>
        <v>311</v>
      </c>
      <c r="F7" s="20">
        <f>SUM(F3:F6)</f>
        <v>132</v>
      </c>
      <c r="G7" s="20">
        <f>SUM(G3:G6)</f>
        <v>36</v>
      </c>
      <c r="H7" s="20">
        <f>SUM(H3:H6)</f>
        <v>102</v>
      </c>
      <c r="I7" s="20">
        <f>SUM(I3:I6)</f>
        <v>581</v>
      </c>
    </row>
    <row r="9" spans="1:10" ht="15" customHeight="1" x14ac:dyDescent="0.3">
      <c r="A9" s="20" t="s">
        <v>134</v>
      </c>
    </row>
    <row r="10" spans="1:10" ht="15" customHeight="1" x14ac:dyDescent="0.3">
      <c r="A10" s="12" t="s">
        <v>135</v>
      </c>
    </row>
    <row r="11" spans="1:10" ht="15" customHeight="1" x14ac:dyDescent="0.3">
      <c r="A11" s="12" t="s">
        <v>136</v>
      </c>
    </row>
    <row r="12" spans="1:10" ht="15" customHeight="1" x14ac:dyDescent="0.3">
      <c r="A12" s="12" t="s">
        <v>137</v>
      </c>
    </row>
    <row r="13" spans="1:10" ht="15" customHeight="1" x14ac:dyDescent="0.3">
      <c r="A13" s="12" t="s">
        <v>138</v>
      </c>
    </row>
    <row r="14" spans="1:10" ht="15" customHeight="1" x14ac:dyDescent="0.3">
      <c r="A14" s="17" t="s">
        <v>139</v>
      </c>
    </row>
    <row r="16" spans="1:10" ht="42" customHeight="1" x14ac:dyDescent="0.3">
      <c r="A16" s="18" t="s">
        <v>140</v>
      </c>
      <c r="B16" s="18" t="s">
        <v>141</v>
      </c>
      <c r="C16" s="18" t="s">
        <v>142</v>
      </c>
      <c r="D16" s="18" t="s">
        <v>143</v>
      </c>
      <c r="E16" s="18" t="s">
        <v>144</v>
      </c>
    </row>
    <row r="17" spans="1:5" ht="15" customHeight="1" x14ac:dyDescent="0.3">
      <c r="A17" s="12" t="s">
        <v>145</v>
      </c>
      <c r="B17" s="12">
        <v>0</v>
      </c>
      <c r="C17" s="12">
        <f>B18</f>
        <v>3</v>
      </c>
      <c r="D17" s="12">
        <f>COUNTIF('Chapter 4'!$Y$2:$Y$154,A17)+COUNTIF('Chapter 4'!$Z$2:$Z$154,A17)</f>
        <v>22</v>
      </c>
      <c r="E17" s="21">
        <f>IFERROR((SUMIF('Chapter 4'!$Y$2:$Y$154,A17,'Chapter 4'!$G$2:$G$154)+SUMIF('Chapter 4'!$Z$2:$Z$154,A17,'Chapter 4'!$R$2:$R$154))/D17,"")</f>
        <v>265.48122136180149</v>
      </c>
    </row>
    <row r="18" spans="1:5" ht="15" customHeight="1" x14ac:dyDescent="0.3">
      <c r="A18" s="12" t="s">
        <v>124</v>
      </c>
      <c r="B18" s="19">
        <v>3</v>
      </c>
      <c r="C18" s="12">
        <f>B19</f>
        <v>5</v>
      </c>
      <c r="D18" s="12">
        <f>COUNTIF('Chapter 4'!$Y$2:$Y$154,A18)+COUNTIF('Chapter 4'!$Z$2:$Z$154,A18)</f>
        <v>21</v>
      </c>
      <c r="E18" s="21">
        <f>IFERROR((SUMIF('Chapter 4'!$Y$2:$Y$154,A18,'Chapter 4'!$G$2:$G$154)+SUMIF('Chapter 4'!$Z$2:$Z$154,A18,'Chapter 4'!$R$2:$R$154))/D18,"")</f>
        <v>576.1769647414759</v>
      </c>
    </row>
    <row r="19" spans="1:5" ht="15" customHeight="1" x14ac:dyDescent="0.3">
      <c r="A19" s="12" t="s">
        <v>146</v>
      </c>
      <c r="B19" s="19">
        <v>5</v>
      </c>
      <c r="C19" s="12" t="s">
        <v>131</v>
      </c>
      <c r="D19" s="12">
        <f>COUNTIF('Chapter 4'!$Y$2:$Y$154,A19)+COUNTIF('Chapter 4'!$Z$2:$Z$154,A19)</f>
        <v>11</v>
      </c>
      <c r="E19" s="21">
        <f>IFERROR((SUMIF('Chapter 4'!$Y$2:$Y$154,A19,'Chapter 4'!$G$2:$G$154)+SUMIF('Chapter 4'!$Z$2:$Z$154,A19,'Chapter 4'!$R$2:$R$154))/D19,"")</f>
        <v>2393.6548657382241</v>
      </c>
    </row>
    <row r="20" spans="1:5" ht="15" customHeight="1" x14ac:dyDescent="0.3">
      <c r="A20" s="20" t="s">
        <v>120</v>
      </c>
      <c r="D20" s="20">
        <f>SUM(D17:D19)</f>
        <v>54</v>
      </c>
    </row>
    <row r="22" spans="1:5" ht="15" customHeight="1" x14ac:dyDescent="0.3">
      <c r="A22" s="12" t="s">
        <v>147</v>
      </c>
    </row>
    <row r="23" spans="1:5" ht="15" customHeight="1" x14ac:dyDescent="0.3">
      <c r="A23" s="12" t="s">
        <v>148</v>
      </c>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27"/>
  <sheetViews>
    <sheetView zoomScaleNormal="100" workbookViewId="0"/>
  </sheetViews>
  <sheetFormatPr defaultColWidth="8.6640625" defaultRowHeight="14.4" x14ac:dyDescent="0.3"/>
  <cols>
    <col min="1" max="1" width="14" customWidth="1"/>
    <col min="2" max="2" width="26" customWidth="1"/>
    <col min="3" max="3" width="58" customWidth="1"/>
    <col min="4" max="4" width="44" customWidth="1"/>
  </cols>
  <sheetData>
    <row r="1" spans="1:4" ht="15" customHeight="1" x14ac:dyDescent="0.3">
      <c r="A1" s="17" t="s">
        <v>149</v>
      </c>
    </row>
    <row r="3" spans="1:4" ht="15" customHeight="1" x14ac:dyDescent="0.3">
      <c r="A3" s="20" t="s">
        <v>150</v>
      </c>
    </row>
    <row r="4" spans="1:4" ht="15" customHeight="1" x14ac:dyDescent="0.3">
      <c r="A4" s="18" t="s">
        <v>112</v>
      </c>
      <c r="B4" s="18" t="s">
        <v>151</v>
      </c>
      <c r="C4" s="18" t="s">
        <v>152</v>
      </c>
      <c r="D4" s="18" t="s">
        <v>153</v>
      </c>
    </row>
    <row r="5" spans="1:4" ht="23.25" customHeight="1" x14ac:dyDescent="0.3">
      <c r="A5" s="22" t="s">
        <v>121</v>
      </c>
      <c r="B5" s="22" t="s">
        <v>154</v>
      </c>
      <c r="C5" s="22" t="s">
        <v>155</v>
      </c>
      <c r="D5" s="22" t="s">
        <v>156</v>
      </c>
    </row>
    <row r="6" spans="1:4" ht="15" customHeight="1" x14ac:dyDescent="0.3">
      <c r="A6" s="22" t="s">
        <v>124</v>
      </c>
      <c r="B6" s="22" t="s">
        <v>157</v>
      </c>
      <c r="C6" s="22" t="s">
        <v>125</v>
      </c>
      <c r="D6" s="22" t="s">
        <v>158</v>
      </c>
    </row>
    <row r="7" spans="1:4" ht="15" customHeight="1" x14ac:dyDescent="0.3">
      <c r="A7" s="22" t="s">
        <v>127</v>
      </c>
      <c r="B7" s="22" t="s">
        <v>159</v>
      </c>
      <c r="C7" s="22" t="s">
        <v>160</v>
      </c>
      <c r="D7" s="22" t="s">
        <v>161</v>
      </c>
    </row>
    <row r="8" spans="1:4" ht="23.25" customHeight="1" x14ac:dyDescent="0.3">
      <c r="A8" s="22" t="s">
        <v>130</v>
      </c>
      <c r="B8" s="22" t="s">
        <v>162</v>
      </c>
      <c r="C8" s="22" t="s">
        <v>163</v>
      </c>
      <c r="D8" s="22" t="s">
        <v>164</v>
      </c>
    </row>
    <row r="11" spans="1:4" ht="15" customHeight="1" x14ac:dyDescent="0.3">
      <c r="A11" s="20" t="s">
        <v>165</v>
      </c>
    </row>
    <row r="12" spans="1:4" ht="15" customHeight="1" x14ac:dyDescent="0.3">
      <c r="A12" s="18" t="s">
        <v>140</v>
      </c>
      <c r="B12" s="18" t="s">
        <v>166</v>
      </c>
      <c r="C12" s="18" t="s">
        <v>152</v>
      </c>
    </row>
    <row r="13" spans="1:4" ht="15" customHeight="1" x14ac:dyDescent="0.3">
      <c r="A13" s="22" t="s">
        <v>145</v>
      </c>
      <c r="B13" s="22" t="s">
        <v>167</v>
      </c>
      <c r="C13" s="22" t="s">
        <v>168</v>
      </c>
    </row>
    <row r="14" spans="1:4" ht="15" customHeight="1" x14ac:dyDescent="0.3">
      <c r="A14" s="22" t="s">
        <v>124</v>
      </c>
      <c r="B14" s="22" t="s">
        <v>169</v>
      </c>
      <c r="C14" s="22" t="s">
        <v>170</v>
      </c>
    </row>
    <row r="15" spans="1:4" ht="15" customHeight="1" x14ac:dyDescent="0.3">
      <c r="A15" s="22" t="s">
        <v>146</v>
      </c>
      <c r="B15" s="22" t="s">
        <v>171</v>
      </c>
      <c r="C15" s="22" t="s">
        <v>172</v>
      </c>
    </row>
    <row r="17" spans="1:1" ht="15" customHeight="1" x14ac:dyDescent="0.3">
      <c r="A17" s="20" t="s">
        <v>173</v>
      </c>
    </row>
    <row r="18" spans="1:1" ht="15" customHeight="1" x14ac:dyDescent="0.3">
      <c r="A18" s="12" t="s">
        <v>174</v>
      </c>
    </row>
    <row r="19" spans="1:1" ht="15" customHeight="1" x14ac:dyDescent="0.3">
      <c r="A19" s="12" t="s">
        <v>175</v>
      </c>
    </row>
    <row r="20" spans="1:1" ht="15" customHeight="1" x14ac:dyDescent="0.3">
      <c r="A20" s="12" t="s">
        <v>176</v>
      </c>
    </row>
    <row r="21" spans="1:1" ht="15" customHeight="1" x14ac:dyDescent="0.3">
      <c r="A21" s="12" t="s">
        <v>177</v>
      </c>
    </row>
    <row r="23" spans="1:1" ht="15" customHeight="1" x14ac:dyDescent="0.3">
      <c r="A23" s="20" t="s">
        <v>178</v>
      </c>
    </row>
    <row r="24" spans="1:1" ht="15" customHeight="1" x14ac:dyDescent="0.3">
      <c r="A24" s="12" t="s">
        <v>179</v>
      </c>
    </row>
    <row r="25" spans="1:1" ht="15" customHeight="1" x14ac:dyDescent="0.3">
      <c r="A25" s="12" t="s">
        <v>180</v>
      </c>
    </row>
    <row r="26" spans="1:1" ht="15" customHeight="1" x14ac:dyDescent="0.3">
      <c r="A26" s="12" t="s">
        <v>181</v>
      </c>
    </row>
    <row r="27" spans="1:1" ht="15" customHeight="1" x14ac:dyDescent="0.3">
      <c r="A27" s="12" t="s">
        <v>182</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Chapter 3</vt:lpstr>
      <vt:lpstr>Chapter 4</vt:lpstr>
      <vt:lpstr>Chapter 5</vt:lpstr>
      <vt:lpstr>Bands</vt:lpstr>
      <vt:lpstr>Image guide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FRANCESCA BRUNO</dc:creator>
  <dc:description/>
  <cp:lastModifiedBy>Bhoomika m</cp:lastModifiedBy>
  <cp:revision>0</cp:revision>
  <dcterms:created xsi:type="dcterms:W3CDTF">2015-06-05T18:17:20Z</dcterms:created>
  <dcterms:modified xsi:type="dcterms:W3CDTF">2026-10-13T16:06:29Z</dcterms:modified>
  <dc:language>en-US</dc:language>
</cp:coreProperties>
</file>